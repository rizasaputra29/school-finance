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755" tabRatio="775" activeTab="7"/>
  </bookViews>
  <sheets>
    <sheet name="Akun" sheetId="5" r:id="rId1"/>
    <sheet name="Aktiva Tetap" sheetId="7" state="hidden" r:id="rId2"/>
    <sheet name="Rekap" sheetId="29" state="hidden" r:id="rId3"/>
    <sheet name="Cover" sheetId="16" r:id="rId4"/>
    <sheet name="Laba Rugi" sheetId="3" r:id="rId5"/>
    <sheet name="Neraca" sheetId="2" r:id="rId6"/>
    <sheet name="Cashflow" sheetId="4" r:id="rId7"/>
    <sheet name="Biaya Siswa" sheetId="30" r:id="rId8"/>
    <sheet name="Data Siswa" sheetId="14" r:id="rId9"/>
    <sheet name="Rekap Siswa" sheetId="15" r:id="rId10"/>
    <sheet name="Absen siswa" sheetId="28" r:id="rId11"/>
    <sheet name="Sheet2" sheetId="32" r:id="rId12"/>
  </sheets>
  <definedNames>
    <definedName name="_xlnm._FilterDatabase" localSheetId="7" hidden="1">'Biaya Siswa'!#REF!</definedName>
    <definedName name="_xlnm._FilterDatabase" localSheetId="6" hidden="1">Cashflow!$A$6:$I$487</definedName>
    <definedName name="_xlnm._FilterDatabase" localSheetId="8" hidden="1">'Data Siswa'!$A$9:$W$101</definedName>
    <definedName name="_xlnm.Print_Area" localSheetId="7">'Biaya Siswa'!$A$1:$M$6</definedName>
    <definedName name="_xlnm.Print_Area" localSheetId="6">Cashflow!$A$1:$G$602</definedName>
    <definedName name="_xlnm.Print_Area" localSheetId="3">Cover!$A$1:$I$27</definedName>
    <definedName name="_xlnm.Print_Area" localSheetId="8">'Data Siswa'!$A$1:$AD$101</definedName>
    <definedName name="_xlnm.Print_Area" localSheetId="4">'Laba Rugi'!$A$1:$F$43</definedName>
    <definedName name="_xlnm.Print_Area" localSheetId="5">Neraca!$A$1:$K$40</definedName>
  </definedNames>
  <calcPr calcId="124519"/>
</workbook>
</file>

<file path=xl/calcChain.xml><?xml version="1.0" encoding="utf-8"?>
<calcChain xmlns="http://schemas.openxmlformats.org/spreadsheetml/2006/main">
  <c r="G50" i="5"/>
  <c r="E40" i="3"/>
  <c r="D40"/>
  <c r="C40"/>
  <c r="G598" i="4" l="1"/>
  <c r="G599"/>
  <c r="G600"/>
  <c r="G601"/>
  <c r="G602"/>
  <c r="D602"/>
  <c r="G603"/>
  <c r="G604" l="1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I45" i="30" l="1"/>
  <c r="C110" i="14"/>
  <c r="D110" s="1"/>
  <c r="C111"/>
  <c r="D111" l="1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H48" i="29"/>
  <c r="H49"/>
  <c r="K49"/>
  <c r="H50"/>
  <c r="A42"/>
  <c r="A43"/>
  <c r="A44"/>
  <c r="A45"/>
  <c r="A46"/>
  <c r="A47"/>
  <c r="A48"/>
  <c r="J48" s="1"/>
  <c r="A49"/>
  <c r="J49" s="1"/>
  <c r="A50"/>
  <c r="J50" s="1"/>
  <c r="B36"/>
  <c r="B37"/>
  <c r="B38"/>
  <c r="B39"/>
  <c r="B40"/>
  <c r="B41"/>
  <c r="B42"/>
  <c r="B43"/>
  <c r="B44"/>
  <c r="B45"/>
  <c r="B46"/>
  <c r="B47"/>
  <c r="B48"/>
  <c r="B49"/>
  <c r="B50"/>
  <c r="B30"/>
  <c r="B31"/>
  <c r="B32"/>
  <c r="B33"/>
  <c r="B34"/>
  <c r="B35"/>
  <c r="C19" i="3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H37" i="29"/>
  <c r="A30"/>
  <c r="A31"/>
  <c r="A32"/>
  <c r="A33"/>
  <c r="A34"/>
  <c r="A35"/>
  <c r="A36"/>
  <c r="A37"/>
  <c r="L37" s="1"/>
  <c r="A38"/>
  <c r="A39"/>
  <c r="A40"/>
  <c r="A41"/>
  <c r="L47"/>
  <c r="D26" i="3"/>
  <c r="I9" i="4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G48" i="5"/>
  <c r="G49"/>
  <c r="G36"/>
  <c r="I8" i="4"/>
  <c r="D19" i="3"/>
  <c r="D20"/>
  <c r="D21"/>
  <c r="D22"/>
  <c r="D23"/>
  <c r="D24"/>
  <c r="D25"/>
  <c r="D27"/>
  <c r="D28"/>
  <c r="D29"/>
  <c r="D30"/>
  <c r="D31"/>
  <c r="D32"/>
  <c r="D33"/>
  <c r="D34"/>
  <c r="D35"/>
  <c r="D36"/>
  <c r="D37"/>
  <c r="D38"/>
  <c r="D39"/>
  <c r="D18"/>
  <c r="C8"/>
  <c r="D8"/>
  <c r="C9"/>
  <c r="D9"/>
  <c r="C10"/>
  <c r="D10"/>
  <c r="C11"/>
  <c r="D11"/>
  <c r="C12"/>
  <c r="D12"/>
  <c r="C13"/>
  <c r="D13"/>
  <c r="C14"/>
  <c r="D14"/>
  <c r="D7"/>
  <c r="H18" i="30"/>
  <c r="I18"/>
  <c r="C109" i="14"/>
  <c r="C38"/>
  <c r="C39"/>
  <c r="C40"/>
  <c r="C41"/>
  <c r="C42"/>
  <c r="C43"/>
  <c r="C44"/>
  <c r="C45"/>
  <c r="C46"/>
  <c r="C47"/>
  <c r="C48"/>
  <c r="H47" i="29"/>
  <c r="G46" i="5"/>
  <c r="K50" i="29" l="1"/>
  <c r="K48"/>
  <c r="L50"/>
  <c r="L49"/>
  <c r="L48"/>
  <c r="K37"/>
  <c r="J37"/>
  <c r="K47"/>
  <c r="J47"/>
  <c r="L110" i="30"/>
  <c r="J110"/>
  <c r="C112" i="14"/>
  <c r="C32"/>
  <c r="D32" s="1"/>
  <c r="C113"/>
  <c r="C33"/>
  <c r="D33" s="1"/>
  <c r="C34"/>
  <c r="C35"/>
  <c r="C36"/>
  <c r="D36" s="1"/>
  <c r="C37"/>
  <c r="D37" s="1"/>
  <c r="C24"/>
  <c r="C107"/>
  <c r="C25"/>
  <c r="C26"/>
  <c r="C27"/>
  <c r="C28"/>
  <c r="D28" s="1"/>
  <c r="C29"/>
  <c r="C30"/>
  <c r="D30" s="1"/>
  <c r="C108"/>
  <c r="C31"/>
  <c r="D31" s="1"/>
  <c r="C10"/>
  <c r="D10" s="1"/>
  <c r="C11"/>
  <c r="C12"/>
  <c r="C13"/>
  <c r="D13" s="1"/>
  <c r="C14"/>
  <c r="C15"/>
  <c r="C16"/>
  <c r="C17"/>
  <c r="D17" s="1"/>
  <c r="C105"/>
  <c r="C106"/>
  <c r="C18"/>
  <c r="C19"/>
  <c r="D19" s="1"/>
  <c r="C20"/>
  <c r="C21"/>
  <c r="C22"/>
  <c r="C23"/>
  <c r="D23" s="1"/>
  <c r="AB9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D11"/>
  <c r="D15"/>
  <c r="D106"/>
  <c r="D21"/>
  <c r="D107"/>
  <c r="D108"/>
  <c r="D112"/>
  <c r="D113"/>
  <c r="D35"/>
  <c r="D109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C9"/>
  <c r="D9" s="1"/>
  <c r="I7" i="30"/>
  <c r="I8"/>
  <c r="I9"/>
  <c r="I10"/>
  <c r="I11"/>
  <c r="I12"/>
  <c r="I13"/>
  <c r="I14"/>
  <c r="I15"/>
  <c r="I16"/>
  <c r="I17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H7"/>
  <c r="H8"/>
  <c r="H9"/>
  <c r="H10"/>
  <c r="H11"/>
  <c r="H12"/>
  <c r="H13"/>
  <c r="H14"/>
  <c r="H15"/>
  <c r="H16"/>
  <c r="H17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X9"/>
  <c r="X8"/>
  <c r="K108" l="1"/>
  <c r="M108" s="1"/>
  <c r="K104"/>
  <c r="M104" s="1"/>
  <c r="K100"/>
  <c r="M100" s="1"/>
  <c r="K96"/>
  <c r="M96" s="1"/>
  <c r="K92"/>
  <c r="M92" s="1"/>
  <c r="K88"/>
  <c r="M88" s="1"/>
  <c r="K109"/>
  <c r="M109" s="1"/>
  <c r="K107"/>
  <c r="M107" s="1"/>
  <c r="K105"/>
  <c r="M105" s="1"/>
  <c r="K103"/>
  <c r="M103" s="1"/>
  <c r="K101"/>
  <c r="M101" s="1"/>
  <c r="K99"/>
  <c r="M99" s="1"/>
  <c r="K97"/>
  <c r="M97" s="1"/>
  <c r="K95"/>
  <c r="M95" s="1"/>
  <c r="K93"/>
  <c r="M93" s="1"/>
  <c r="K91"/>
  <c r="M91" s="1"/>
  <c r="K89"/>
  <c r="M89" s="1"/>
  <c r="K87"/>
  <c r="M87" s="1"/>
  <c r="K85"/>
  <c r="M85" s="1"/>
  <c r="K83"/>
  <c r="M83" s="1"/>
  <c r="E76" i="14" s="1"/>
  <c r="K81" i="30"/>
  <c r="M81" s="1"/>
  <c r="E74" i="14" s="1"/>
  <c r="K79" i="30"/>
  <c r="M79" s="1"/>
  <c r="E72" i="14" s="1"/>
  <c r="K77" i="30"/>
  <c r="M77" s="1"/>
  <c r="E70" i="14" s="1"/>
  <c r="K75" i="30"/>
  <c r="M75" s="1"/>
  <c r="E68" i="14" s="1"/>
  <c r="K73" i="30"/>
  <c r="M73" s="1"/>
  <c r="E66" i="14" s="1"/>
  <c r="K71" i="30"/>
  <c r="M71" s="1"/>
  <c r="E64" i="14" s="1"/>
  <c r="K69" i="30"/>
  <c r="M69" s="1"/>
  <c r="E62" i="14" s="1"/>
  <c r="K67" i="30"/>
  <c r="M67" s="1"/>
  <c r="E60" i="14" s="1"/>
  <c r="K65" i="30"/>
  <c r="M65" s="1"/>
  <c r="E58" i="14" s="1"/>
  <c r="K63" i="30"/>
  <c r="M63" s="1"/>
  <c r="E56" i="14" s="1"/>
  <c r="K61" i="30"/>
  <c r="M61" s="1"/>
  <c r="E54" i="14" s="1"/>
  <c r="K59" i="30"/>
  <c r="M59" s="1"/>
  <c r="E52" i="14" s="1"/>
  <c r="K57" i="30"/>
  <c r="M57" s="1"/>
  <c r="E50" i="14" s="1"/>
  <c r="K55" i="30"/>
  <c r="M55" s="1"/>
  <c r="E111" i="14" s="1"/>
  <c r="K53" i="30"/>
  <c r="M53" s="1"/>
  <c r="E48" i="14" s="1"/>
  <c r="K51" i="30"/>
  <c r="M51" s="1"/>
  <c r="E46" i="14" s="1"/>
  <c r="K49" i="30"/>
  <c r="M49" s="1"/>
  <c r="E44" i="14" s="1"/>
  <c r="K47" i="30"/>
  <c r="M47" s="1"/>
  <c r="E42" i="14" s="1"/>
  <c r="K45" i="30"/>
  <c r="M45" s="1"/>
  <c r="E40" i="14" s="1"/>
  <c r="K43" i="30"/>
  <c r="M43" s="1"/>
  <c r="E38" i="14" s="1"/>
  <c r="K39" i="30"/>
  <c r="M39" s="1"/>
  <c r="E35" i="14" s="1"/>
  <c r="K37" i="30"/>
  <c r="M37" s="1"/>
  <c r="E33" i="14" s="1"/>
  <c r="K35" i="30"/>
  <c r="M35" s="1"/>
  <c r="E32" i="14" s="1"/>
  <c r="K33" i="30"/>
  <c r="M33" s="1"/>
  <c r="E31" i="14" s="1"/>
  <c r="K31" i="30"/>
  <c r="M31" s="1"/>
  <c r="E30" i="14" s="1"/>
  <c r="K29" i="30"/>
  <c r="M29" s="1"/>
  <c r="E28" i="14" s="1"/>
  <c r="K27" i="30"/>
  <c r="M27" s="1"/>
  <c r="E26" i="14" s="1"/>
  <c r="K25" i="30"/>
  <c r="M25" s="1"/>
  <c r="E107" i="14" s="1"/>
  <c r="K23" i="30"/>
  <c r="M23" s="1"/>
  <c r="E23" i="14" s="1"/>
  <c r="K21" i="30"/>
  <c r="M21" s="1"/>
  <c r="E21" i="14" s="1"/>
  <c r="K19" i="30"/>
  <c r="M19" s="1"/>
  <c r="E19" i="14" s="1"/>
  <c r="K17" i="30"/>
  <c r="M17" s="1"/>
  <c r="E106" i="14" s="1"/>
  <c r="K15" i="30"/>
  <c r="M15" s="1"/>
  <c r="E17" i="14" s="1"/>
  <c r="K13" i="30"/>
  <c r="M13" s="1"/>
  <c r="E15" i="14" s="1"/>
  <c r="K11" i="30"/>
  <c r="M11" s="1"/>
  <c r="E13" i="14" s="1"/>
  <c r="K9" i="30"/>
  <c r="M9" s="1"/>
  <c r="E11" i="14" s="1"/>
  <c r="K7" i="30"/>
  <c r="M7" s="1"/>
  <c r="E9" i="14" s="1"/>
  <c r="AC9" s="1"/>
  <c r="K106" i="30"/>
  <c r="M106" s="1"/>
  <c r="K102"/>
  <c r="M102" s="1"/>
  <c r="K98"/>
  <c r="M98" s="1"/>
  <c r="K94"/>
  <c r="M94" s="1"/>
  <c r="K90"/>
  <c r="M90" s="1"/>
  <c r="K86"/>
  <c r="M86" s="1"/>
  <c r="K84"/>
  <c r="M84" s="1"/>
  <c r="E77" i="14" s="1"/>
  <c r="K82" i="30"/>
  <c r="M82" s="1"/>
  <c r="E75" i="14" s="1"/>
  <c r="K80" i="30"/>
  <c r="M80" s="1"/>
  <c r="E73" i="14" s="1"/>
  <c r="K78" i="30"/>
  <c r="M78" s="1"/>
  <c r="E71" i="14" s="1"/>
  <c r="K76" i="30"/>
  <c r="M76" s="1"/>
  <c r="E69" i="14" s="1"/>
  <c r="K74" i="30"/>
  <c r="M74" s="1"/>
  <c r="E67" i="14" s="1"/>
  <c r="K72" i="30"/>
  <c r="M72" s="1"/>
  <c r="E65" i="14" s="1"/>
  <c r="K70" i="30"/>
  <c r="M70" s="1"/>
  <c r="E63" i="14" s="1"/>
  <c r="K68" i="30"/>
  <c r="M68" s="1"/>
  <c r="E61" i="14" s="1"/>
  <c r="K66" i="30"/>
  <c r="M66" s="1"/>
  <c r="E59" i="14" s="1"/>
  <c r="K64" i="30"/>
  <c r="M64" s="1"/>
  <c r="E57" i="14" s="1"/>
  <c r="K62" i="30"/>
  <c r="M62" s="1"/>
  <c r="E55" i="14" s="1"/>
  <c r="K60" i="30"/>
  <c r="M60" s="1"/>
  <c r="E53" i="14" s="1"/>
  <c r="K58" i="30"/>
  <c r="M58" s="1"/>
  <c r="E51" i="14" s="1"/>
  <c r="K56" i="30"/>
  <c r="M56" s="1"/>
  <c r="E49" i="14" s="1"/>
  <c r="K54" i="30"/>
  <c r="M54" s="1"/>
  <c r="E110" i="14" s="1"/>
  <c r="K52" i="30"/>
  <c r="M52" s="1"/>
  <c r="E47" i="14" s="1"/>
  <c r="K50" i="30"/>
  <c r="M50" s="1"/>
  <c r="E45" i="14" s="1"/>
  <c r="K48" i="30"/>
  <c r="M48" s="1"/>
  <c r="E43" i="14" s="1"/>
  <c r="K46" i="30"/>
  <c r="M46" s="1"/>
  <c r="E41" i="14" s="1"/>
  <c r="K44" i="30"/>
  <c r="M44" s="1"/>
  <c r="E39" i="14" s="1"/>
  <c r="K42" i="30"/>
  <c r="M42" s="1"/>
  <c r="E109" i="14" s="1"/>
  <c r="K38" i="30"/>
  <c r="M38" s="1"/>
  <c r="E34" i="14" s="1"/>
  <c r="K36" i="30"/>
  <c r="M36" s="1"/>
  <c r="E113" i="14" s="1"/>
  <c r="K34" i="30"/>
  <c r="M34" s="1"/>
  <c r="K32"/>
  <c r="M32" s="1"/>
  <c r="K30"/>
  <c r="M30" s="1"/>
  <c r="K28"/>
  <c r="M28" s="1"/>
  <c r="E27" i="14" s="1"/>
  <c r="K26" i="30"/>
  <c r="M26" s="1"/>
  <c r="E25" i="14" s="1"/>
  <c r="K24" i="30"/>
  <c r="M24" s="1"/>
  <c r="E24" i="14" s="1"/>
  <c r="K22" i="30"/>
  <c r="M22" s="1"/>
  <c r="E22" i="14" s="1"/>
  <c r="K20" i="30"/>
  <c r="M20" s="1"/>
  <c r="E20" i="14" s="1"/>
  <c r="K18" i="30"/>
  <c r="M18" s="1"/>
  <c r="E18" i="14" s="1"/>
  <c r="K16" i="30"/>
  <c r="M16" s="1"/>
  <c r="E105" i="14" s="1"/>
  <c r="K14" i="30"/>
  <c r="M14" s="1"/>
  <c r="E16" i="14" s="1"/>
  <c r="K12" i="30"/>
  <c r="M12" s="1"/>
  <c r="E14" i="14" s="1"/>
  <c r="K10" i="30"/>
  <c r="M10" s="1"/>
  <c r="E12" i="14" s="1"/>
  <c r="K8" i="30"/>
  <c r="M8" s="1"/>
  <c r="E10" i="14" s="1"/>
  <c r="K41" i="30"/>
  <c r="M41" s="1"/>
  <c r="E37" i="14" s="1"/>
  <c r="F110" i="30"/>
  <c r="H110"/>
  <c r="E110"/>
  <c r="G110"/>
  <c r="I110"/>
  <c r="K40"/>
  <c r="M40" s="1"/>
  <c r="D34" i="14"/>
  <c r="E112"/>
  <c r="E108"/>
  <c r="E29"/>
  <c r="D29"/>
  <c r="D26"/>
  <c r="D27"/>
  <c r="D25"/>
  <c r="D24"/>
  <c r="D22"/>
  <c r="D20"/>
  <c r="D18"/>
  <c r="D105"/>
  <c r="D16"/>
  <c r="D14"/>
  <c r="D12"/>
  <c r="E23" i="15"/>
  <c r="F12" s="1"/>
  <c r="G28" i="29"/>
  <c r="B28"/>
  <c r="A28"/>
  <c r="I28" s="1"/>
  <c r="G3" i="5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7"/>
  <c r="G38"/>
  <c r="G39"/>
  <c r="G40"/>
  <c r="G41"/>
  <c r="G42"/>
  <c r="G43"/>
  <c r="G44"/>
  <c r="G45"/>
  <c r="G47"/>
  <c r="G52"/>
  <c r="G53"/>
  <c r="G54"/>
  <c r="G2"/>
  <c r="E53" i="29"/>
  <c r="F53"/>
  <c r="H4"/>
  <c r="H5"/>
  <c r="H6"/>
  <c r="G7"/>
  <c r="H7"/>
  <c r="G8"/>
  <c r="H8"/>
  <c r="G9"/>
  <c r="H9"/>
  <c r="G10"/>
  <c r="H10"/>
  <c r="G11"/>
  <c r="H11"/>
  <c r="G12"/>
  <c r="H12"/>
  <c r="G13"/>
  <c r="H13"/>
  <c r="G14"/>
  <c r="G15"/>
  <c r="G16"/>
  <c r="G17"/>
  <c r="G18"/>
  <c r="G19"/>
  <c r="G20"/>
  <c r="G21"/>
  <c r="G22"/>
  <c r="G23"/>
  <c r="G24"/>
  <c r="G25"/>
  <c r="G26"/>
  <c r="G27"/>
  <c r="H29"/>
  <c r="H30"/>
  <c r="H31"/>
  <c r="H32"/>
  <c r="H33"/>
  <c r="H34"/>
  <c r="H35"/>
  <c r="H36"/>
  <c r="H38"/>
  <c r="H39"/>
  <c r="H40"/>
  <c r="H41"/>
  <c r="H42"/>
  <c r="H43"/>
  <c r="H44"/>
  <c r="H45"/>
  <c r="H46"/>
  <c r="H3"/>
  <c r="C3"/>
  <c r="G3" s="1"/>
  <c r="A4"/>
  <c r="A5"/>
  <c r="A6"/>
  <c r="A7"/>
  <c r="L7" s="1"/>
  <c r="A8"/>
  <c r="A9"/>
  <c r="L9" s="1"/>
  <c r="A10"/>
  <c r="A11"/>
  <c r="L11" s="1"/>
  <c r="A12"/>
  <c r="A13"/>
  <c r="L13" s="1"/>
  <c r="A14"/>
  <c r="A15"/>
  <c r="K15" s="1"/>
  <c r="A16"/>
  <c r="A17"/>
  <c r="K17" s="1"/>
  <c r="A18"/>
  <c r="A19"/>
  <c r="K19" s="1"/>
  <c r="A20"/>
  <c r="A21"/>
  <c r="K21" s="1"/>
  <c r="A22"/>
  <c r="K22" s="1"/>
  <c r="A23"/>
  <c r="K23" s="1"/>
  <c r="A24"/>
  <c r="K24" s="1"/>
  <c r="A25"/>
  <c r="K25" s="1"/>
  <c r="A26"/>
  <c r="K26" s="1"/>
  <c r="A27"/>
  <c r="K27" s="1"/>
  <c r="A29"/>
  <c r="K29" s="1"/>
  <c r="K30"/>
  <c r="K31"/>
  <c r="K32"/>
  <c r="K33"/>
  <c r="K34"/>
  <c r="K35"/>
  <c r="K36"/>
  <c r="K38"/>
  <c r="K39"/>
  <c r="K40"/>
  <c r="K41"/>
  <c r="K42"/>
  <c r="K43"/>
  <c r="K44"/>
  <c r="K45"/>
  <c r="K46"/>
  <c r="G9" i="4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K20" i="29" l="1"/>
  <c r="K18"/>
  <c r="K16"/>
  <c r="K14"/>
  <c r="L5"/>
  <c r="G28" i="4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M110" i="30"/>
  <c r="K110"/>
  <c r="L30" i="29"/>
  <c r="K7"/>
  <c r="E13" i="2" s="1"/>
  <c r="L12" i="29"/>
  <c r="L10"/>
  <c r="L8"/>
  <c r="L6"/>
  <c r="L4"/>
  <c r="L39"/>
  <c r="L21"/>
  <c r="K28"/>
  <c r="L43"/>
  <c r="L34"/>
  <c r="L25"/>
  <c r="K11"/>
  <c r="E21" i="2" s="1"/>
  <c r="L28" i="29"/>
  <c r="E36" i="14"/>
  <c r="L45" i="29"/>
  <c r="L41"/>
  <c r="L36"/>
  <c r="L32"/>
  <c r="L27"/>
  <c r="L23"/>
  <c r="K13"/>
  <c r="E23" i="2" s="1"/>
  <c r="K9" i="29"/>
  <c r="E19" i="2" s="1"/>
  <c r="L46" i="29"/>
  <c r="L44"/>
  <c r="L42"/>
  <c r="L40"/>
  <c r="L38"/>
  <c r="L35"/>
  <c r="L33"/>
  <c r="L31"/>
  <c r="L29"/>
  <c r="L26"/>
  <c r="L24"/>
  <c r="L22"/>
  <c r="K12"/>
  <c r="E22" i="2" s="1"/>
  <c r="K10" i="29"/>
  <c r="E20" i="2" s="1"/>
  <c r="K8" i="29"/>
  <c r="E14" i="2" s="1"/>
  <c r="I5" i="29"/>
  <c r="I7"/>
  <c r="I9"/>
  <c r="I11"/>
  <c r="I13"/>
  <c r="I15"/>
  <c r="I17"/>
  <c r="I19"/>
  <c r="I21"/>
  <c r="I22"/>
  <c r="I23"/>
  <c r="I24"/>
  <c r="I25"/>
  <c r="I26"/>
  <c r="I27"/>
  <c r="J29"/>
  <c r="J30"/>
  <c r="J31"/>
  <c r="J32"/>
  <c r="J33"/>
  <c r="J34"/>
  <c r="J35"/>
  <c r="J36"/>
  <c r="J38"/>
  <c r="J39"/>
  <c r="J40"/>
  <c r="J41"/>
  <c r="J42"/>
  <c r="J43"/>
  <c r="J44"/>
  <c r="J45"/>
  <c r="J46"/>
  <c r="J4"/>
  <c r="J5"/>
  <c r="J6"/>
  <c r="J7"/>
  <c r="J8"/>
  <c r="J9"/>
  <c r="J10"/>
  <c r="J11"/>
  <c r="J12"/>
  <c r="J13"/>
  <c r="J14"/>
  <c r="J15"/>
  <c r="J16"/>
  <c r="J17"/>
  <c r="J18"/>
  <c r="J19"/>
  <c r="J20"/>
  <c r="A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"/>
  <c r="C7" i="3"/>
  <c r="C18"/>
  <c r="A2"/>
  <c r="H20" i="2"/>
  <c r="H21"/>
  <c r="H22"/>
  <c r="H23"/>
  <c r="H19"/>
  <c r="H10"/>
  <c r="H9"/>
  <c r="C14"/>
  <c r="C12"/>
  <c r="C13"/>
  <c r="C23"/>
  <c r="C20"/>
  <c r="C21"/>
  <c r="C22"/>
  <c r="C19"/>
  <c r="C10"/>
  <c r="C11"/>
  <c r="C9"/>
  <c r="C48" i="29" l="1"/>
  <c r="G48" s="1"/>
  <c r="I48" s="1"/>
  <c r="E37" i="3" s="1"/>
  <c r="C50" i="29"/>
  <c r="G50" s="1"/>
  <c r="I50" s="1"/>
  <c r="E39" i="3" s="1"/>
  <c r="C49" i="29"/>
  <c r="G49" s="1"/>
  <c r="I49" s="1"/>
  <c r="E38" i="3" s="1"/>
  <c r="C37" i="29"/>
  <c r="G37" s="1"/>
  <c r="I37" s="1"/>
  <c r="E26" i="3" s="1"/>
  <c r="E15" i="2"/>
  <c r="G93" i="4"/>
  <c r="G94" s="1"/>
  <c r="G95" s="1"/>
  <c r="G96" s="1"/>
  <c r="G97" s="1"/>
  <c r="G98" s="1"/>
  <c r="G99" s="1"/>
  <c r="G100" s="1"/>
  <c r="G101" s="1"/>
  <c r="G102" s="1"/>
  <c r="G103" s="1"/>
  <c r="G104" s="1"/>
  <c r="G105" s="1"/>
  <c r="G106" s="1"/>
  <c r="G107" s="1"/>
  <c r="G108" s="1"/>
  <c r="G109" s="1"/>
  <c r="G110" s="1"/>
  <c r="G111" s="1"/>
  <c r="G112" s="1"/>
  <c r="G113" s="1"/>
  <c r="G114" s="1"/>
  <c r="G115" s="1"/>
  <c r="G116" s="1"/>
  <c r="G117" s="1"/>
  <c r="G118" s="1"/>
  <c r="G119" s="1"/>
  <c r="G120" s="1"/>
  <c r="G121" s="1"/>
  <c r="G122" s="1"/>
  <c r="G123" s="1"/>
  <c r="G124" s="1"/>
  <c r="G125" s="1"/>
  <c r="G126" s="1"/>
  <c r="G127" s="1"/>
  <c r="G128" s="1"/>
  <c r="G129" s="1"/>
  <c r="G130" s="1"/>
  <c r="G131" s="1"/>
  <c r="G132" s="1"/>
  <c r="G133" s="1"/>
  <c r="G134" s="1"/>
  <c r="G135" s="1"/>
  <c r="C47" i="29"/>
  <c r="G47" s="1"/>
  <c r="I47" s="1"/>
  <c r="E36" i="3" s="1"/>
  <c r="C6" i="29"/>
  <c r="G6" s="1"/>
  <c r="K6" s="1"/>
  <c r="E12" i="2" s="1"/>
  <c r="L3" i="29"/>
  <c r="I3"/>
  <c r="J3"/>
  <c r="K3"/>
  <c r="E9" i="2" s="1"/>
  <c r="C4" i="29"/>
  <c r="G4" s="1"/>
  <c r="D14"/>
  <c r="H14" s="1"/>
  <c r="D16"/>
  <c r="H16" s="1"/>
  <c r="L16" s="1"/>
  <c r="I19" i="2" s="1"/>
  <c r="D18" i="29"/>
  <c r="H18" s="1"/>
  <c r="L18" s="1"/>
  <c r="I21" i="2" s="1"/>
  <c r="D20" i="29"/>
  <c r="H20" s="1"/>
  <c r="L20" s="1"/>
  <c r="I23" i="2" s="1"/>
  <c r="D15" i="29"/>
  <c r="H15" s="1"/>
  <c r="L15" s="1"/>
  <c r="I10" i="2" s="1"/>
  <c r="D19" i="29"/>
  <c r="H19" s="1"/>
  <c r="D17"/>
  <c r="H17" s="1"/>
  <c r="L17" s="1"/>
  <c r="I20" i="2" s="1"/>
  <c r="C30" i="29"/>
  <c r="G30" s="1"/>
  <c r="I30" s="1"/>
  <c r="E19" i="3" s="1"/>
  <c r="C32" i="29"/>
  <c r="G32" s="1"/>
  <c r="I32" s="1"/>
  <c r="E21" i="3" s="1"/>
  <c r="C34" i="29"/>
  <c r="G34" s="1"/>
  <c r="I34" s="1"/>
  <c r="E23" i="3" s="1"/>
  <c r="C36" i="29"/>
  <c r="G36" s="1"/>
  <c r="I36" s="1"/>
  <c r="E25" i="3" s="1"/>
  <c r="C39" i="29"/>
  <c r="G39" s="1"/>
  <c r="I39" s="1"/>
  <c r="E28" i="3" s="1"/>
  <c r="C41" i="29"/>
  <c r="G41" s="1"/>
  <c r="I41" s="1"/>
  <c r="E30" i="3" s="1"/>
  <c r="C43" i="29"/>
  <c r="G43" s="1"/>
  <c r="I43" s="1"/>
  <c r="E32" i="3" s="1"/>
  <c r="C45" i="29"/>
  <c r="G45" s="1"/>
  <c r="I45" s="1"/>
  <c r="E34" i="3" s="1"/>
  <c r="C29" i="29"/>
  <c r="G29" s="1"/>
  <c r="I29" s="1"/>
  <c r="E18" i="3" s="1"/>
  <c r="C31" i="29"/>
  <c r="G31" s="1"/>
  <c r="I31" s="1"/>
  <c r="E20" i="3" s="1"/>
  <c r="C33" i="29"/>
  <c r="G33" s="1"/>
  <c r="I33" s="1"/>
  <c r="E22" i="3" s="1"/>
  <c r="C35" i="29"/>
  <c r="G35" s="1"/>
  <c r="I35" s="1"/>
  <c r="E24" i="3" s="1"/>
  <c r="C38" i="29"/>
  <c r="G38" s="1"/>
  <c r="I38" s="1"/>
  <c r="E27" i="3" s="1"/>
  <c r="C40" i="29"/>
  <c r="G40" s="1"/>
  <c r="I40" s="1"/>
  <c r="E29" i="3" s="1"/>
  <c r="C42" i="29"/>
  <c r="G42" s="1"/>
  <c r="I42" s="1"/>
  <c r="E31" i="3" s="1"/>
  <c r="C44" i="29"/>
  <c r="G44" s="1"/>
  <c r="I44" s="1"/>
  <c r="E33" i="3" s="1"/>
  <c r="C46" i="29"/>
  <c r="G46" s="1"/>
  <c r="I46" s="1"/>
  <c r="E35" i="3" s="1"/>
  <c r="D27" i="29"/>
  <c r="H27" s="1"/>
  <c r="J27" s="1"/>
  <c r="I20"/>
  <c r="I18"/>
  <c r="I16"/>
  <c r="I14"/>
  <c r="I12"/>
  <c r="I10"/>
  <c r="I8"/>
  <c r="I6"/>
  <c r="I4"/>
  <c r="AB10" i="14"/>
  <c r="AC10" s="1"/>
  <c r="AB11"/>
  <c r="AC11" s="1"/>
  <c r="AB12"/>
  <c r="AC12" s="1"/>
  <c r="AB13"/>
  <c r="AC13" s="1"/>
  <c r="AB14"/>
  <c r="AC14" s="1"/>
  <c r="AB15"/>
  <c r="AC15" s="1"/>
  <c r="AB16"/>
  <c r="AC16" s="1"/>
  <c r="AB17"/>
  <c r="AC17" s="1"/>
  <c r="AB105"/>
  <c r="AC105" s="1"/>
  <c r="AB106"/>
  <c r="AC106" s="1"/>
  <c r="AB18"/>
  <c r="AC18" s="1"/>
  <c r="AB19"/>
  <c r="AC19" s="1"/>
  <c r="AB20"/>
  <c r="AC20" s="1"/>
  <c r="AB21"/>
  <c r="AC21" s="1"/>
  <c r="AB22"/>
  <c r="AC22" s="1"/>
  <c r="AB23"/>
  <c r="AC23" s="1"/>
  <c r="AB24"/>
  <c r="AC24" s="1"/>
  <c r="AB107"/>
  <c r="AC107" s="1"/>
  <c r="AB25"/>
  <c r="AC25" s="1"/>
  <c r="AB26"/>
  <c r="AC26" s="1"/>
  <c r="AB27"/>
  <c r="AC27" s="1"/>
  <c r="AB28"/>
  <c r="AC28" s="1"/>
  <c r="AB29"/>
  <c r="AC29" s="1"/>
  <c r="AB30"/>
  <c r="AC30" s="1"/>
  <c r="AB108"/>
  <c r="AC108" s="1"/>
  <c r="AB31"/>
  <c r="AC31" s="1"/>
  <c r="AB112"/>
  <c r="AC112" s="1"/>
  <c r="AB32"/>
  <c r="AC32" s="1"/>
  <c r="AB113"/>
  <c r="AC113" s="1"/>
  <c r="AB33"/>
  <c r="AC33" s="1"/>
  <c r="AB34"/>
  <c r="AC34" s="1"/>
  <c r="AB35"/>
  <c r="AC35" s="1"/>
  <c r="AB36"/>
  <c r="AC36" s="1"/>
  <c r="AB37"/>
  <c r="AC37" s="1"/>
  <c r="AB109"/>
  <c r="AC109" s="1"/>
  <c r="AB38"/>
  <c r="AC38" s="1"/>
  <c r="AB39"/>
  <c r="AC39" s="1"/>
  <c r="AB40"/>
  <c r="AC40" s="1"/>
  <c r="AB41"/>
  <c r="AC41" s="1"/>
  <c r="AB42"/>
  <c r="AC42" s="1"/>
  <c r="AB43"/>
  <c r="AC43" s="1"/>
  <c r="AB44"/>
  <c r="AC44" s="1"/>
  <c r="AB45"/>
  <c r="AC45" s="1"/>
  <c r="AB46"/>
  <c r="AC46" s="1"/>
  <c r="AB47"/>
  <c r="AC47" s="1"/>
  <c r="AB48"/>
  <c r="AC48" s="1"/>
  <c r="AB110"/>
  <c r="AC110" s="1"/>
  <c r="AB111"/>
  <c r="AC111" s="1"/>
  <c r="AB49"/>
  <c r="AC49" s="1"/>
  <c r="AB50"/>
  <c r="AC50" s="1"/>
  <c r="AB51"/>
  <c r="AC51" s="1"/>
  <c r="AB52"/>
  <c r="AC52" s="1"/>
  <c r="AB53"/>
  <c r="AC53" s="1"/>
  <c r="AB54"/>
  <c r="AC54" s="1"/>
  <c r="AB55"/>
  <c r="AC55" s="1"/>
  <c r="AB56"/>
  <c r="AC56" s="1"/>
  <c r="AB57"/>
  <c r="AC57" s="1"/>
  <c r="AB58"/>
  <c r="AC58" s="1"/>
  <c r="AB59"/>
  <c r="AC59" s="1"/>
  <c r="AB60"/>
  <c r="AC60" s="1"/>
  <c r="AB61"/>
  <c r="AC61" s="1"/>
  <c r="AB62"/>
  <c r="AC62" s="1"/>
  <c r="AB63"/>
  <c r="AC63" s="1"/>
  <c r="AB64"/>
  <c r="AC64" s="1"/>
  <c r="AB65"/>
  <c r="AC65" s="1"/>
  <c r="AB66"/>
  <c r="AC66" s="1"/>
  <c r="AB67"/>
  <c r="AC67" s="1"/>
  <c r="AB68"/>
  <c r="AC68" s="1"/>
  <c r="AB69"/>
  <c r="AC69" s="1"/>
  <c r="AB70"/>
  <c r="AC70" s="1"/>
  <c r="AB71"/>
  <c r="AC71" s="1"/>
  <c r="AB72"/>
  <c r="AC72" s="1"/>
  <c r="AB73"/>
  <c r="AC73" s="1"/>
  <c r="AB74"/>
  <c r="AC74" s="1"/>
  <c r="AB75"/>
  <c r="AC75" s="1"/>
  <c r="AB76"/>
  <c r="AC76" s="1"/>
  <c r="AB77"/>
  <c r="AC77" s="1"/>
  <c r="AB78"/>
  <c r="AC78" s="1"/>
  <c r="AB79"/>
  <c r="AC79" s="1"/>
  <c r="AB80"/>
  <c r="AC80" s="1"/>
  <c r="AB81"/>
  <c r="AC81" s="1"/>
  <c r="AB82"/>
  <c r="AC82" s="1"/>
  <c r="AB83"/>
  <c r="AC83" s="1"/>
  <c r="AB84"/>
  <c r="AC84" s="1"/>
  <c r="AB85"/>
  <c r="AC85" s="1"/>
  <c r="AB86"/>
  <c r="AC86" s="1"/>
  <c r="AB87"/>
  <c r="AC87" s="1"/>
  <c r="AB88"/>
  <c r="AC88" s="1"/>
  <c r="AB89"/>
  <c r="AC89" s="1"/>
  <c r="AB90"/>
  <c r="AC90" s="1"/>
  <c r="AB91"/>
  <c r="AC91" s="1"/>
  <c r="AB92"/>
  <c r="AC92" s="1"/>
  <c r="AB93"/>
  <c r="AC93" s="1"/>
  <c r="AB94"/>
  <c r="AC94" s="1"/>
  <c r="AB95"/>
  <c r="AC95" s="1"/>
  <c r="AB96"/>
  <c r="AC96" s="1"/>
  <c r="AB97"/>
  <c r="AC97" s="1"/>
  <c r="AB98"/>
  <c r="AC98" s="1"/>
  <c r="AB99"/>
  <c r="AC99" s="1"/>
  <c r="E41" i="3" l="1"/>
  <c r="G136" i="4"/>
  <c r="G137" s="1"/>
  <c r="G138" s="1"/>
  <c r="G139" s="1"/>
  <c r="G140" s="1"/>
  <c r="G141" s="1"/>
  <c r="G142" s="1"/>
  <c r="G143" s="1"/>
  <c r="G144" s="1"/>
  <c r="G145" s="1"/>
  <c r="G146" s="1"/>
  <c r="G147" s="1"/>
  <c r="G148" s="1"/>
  <c r="G149" s="1"/>
  <c r="G150" s="1"/>
  <c r="G151" s="1"/>
  <c r="G152" s="1"/>
  <c r="G153" s="1"/>
  <c r="G154" s="1"/>
  <c r="G155" s="1"/>
  <c r="G156" s="1"/>
  <c r="G157" s="1"/>
  <c r="G158" s="1"/>
  <c r="G159" s="1"/>
  <c r="G160" s="1"/>
  <c r="G161" s="1"/>
  <c r="G162" s="1"/>
  <c r="G163" s="1"/>
  <c r="G164" s="1"/>
  <c r="G165" s="1"/>
  <c r="G166" s="1"/>
  <c r="G167" s="1"/>
  <c r="G168" s="1"/>
  <c r="G169" s="1"/>
  <c r="G170" s="1"/>
  <c r="G171" s="1"/>
  <c r="G172" s="1"/>
  <c r="G173" s="1"/>
  <c r="G174" s="1"/>
  <c r="G175" s="1"/>
  <c r="G176" s="1"/>
  <c r="G177" s="1"/>
  <c r="G178" s="1"/>
  <c r="G179" s="1"/>
  <c r="G180" s="1"/>
  <c r="G181" s="1"/>
  <c r="G182" s="1"/>
  <c r="G183" s="1"/>
  <c r="G184" s="1"/>
  <c r="G185" s="1"/>
  <c r="G186" s="1"/>
  <c r="G187" s="1"/>
  <c r="G188" s="1"/>
  <c r="G189" s="1"/>
  <c r="G190" s="1"/>
  <c r="G191" s="1"/>
  <c r="G192" s="1"/>
  <c r="G193" s="1"/>
  <c r="G194" s="1"/>
  <c r="G195" s="1"/>
  <c r="G196" s="1"/>
  <c r="G197" s="1"/>
  <c r="G198" s="1"/>
  <c r="G199" s="1"/>
  <c r="G200" s="1"/>
  <c r="G201" s="1"/>
  <c r="G202" s="1"/>
  <c r="G203" s="1"/>
  <c r="G204" s="1"/>
  <c r="G205" s="1"/>
  <c r="G206" s="1"/>
  <c r="G207" s="1"/>
  <c r="G208" s="1"/>
  <c r="G209" s="1"/>
  <c r="G210" s="1"/>
  <c r="G211" s="1"/>
  <c r="G212" s="1"/>
  <c r="G213" s="1"/>
  <c r="G214" s="1"/>
  <c r="G215" s="1"/>
  <c r="G216" s="1"/>
  <c r="G217" s="1"/>
  <c r="G218" s="1"/>
  <c r="G219" s="1"/>
  <c r="G220" s="1"/>
  <c r="G221" s="1"/>
  <c r="G222" s="1"/>
  <c r="G223" s="1"/>
  <c r="G224" s="1"/>
  <c r="G225" s="1"/>
  <c r="G226" s="1"/>
  <c r="G227" s="1"/>
  <c r="G228" s="1"/>
  <c r="G229" s="1"/>
  <c r="G230" s="1"/>
  <c r="G231" s="1"/>
  <c r="G232" s="1"/>
  <c r="G233" s="1"/>
  <c r="G234" s="1"/>
  <c r="G235" s="1"/>
  <c r="G236" s="1"/>
  <c r="G237" s="1"/>
  <c r="G238" s="1"/>
  <c r="G239" s="1"/>
  <c r="G240" s="1"/>
  <c r="G241" s="1"/>
  <c r="G242" s="1"/>
  <c r="G243" s="1"/>
  <c r="G244" s="1"/>
  <c r="G245" s="1"/>
  <c r="G246" s="1"/>
  <c r="G247" s="1"/>
  <c r="G248" s="1"/>
  <c r="G249" s="1"/>
  <c r="G250" s="1"/>
  <c r="G251" s="1"/>
  <c r="G252" s="1"/>
  <c r="G253" s="1"/>
  <c r="G254" s="1"/>
  <c r="G255" s="1"/>
  <c r="G256" s="1"/>
  <c r="G257" s="1"/>
  <c r="G258" s="1"/>
  <c r="G259" s="1"/>
  <c r="G260" s="1"/>
  <c r="G261" s="1"/>
  <c r="G262" s="1"/>
  <c r="G263" s="1"/>
  <c r="G264" s="1"/>
  <c r="G265" s="1"/>
  <c r="G266" s="1"/>
  <c r="G267" s="1"/>
  <c r="G268" s="1"/>
  <c r="G269" s="1"/>
  <c r="G270" s="1"/>
  <c r="G271" s="1"/>
  <c r="G272" s="1"/>
  <c r="G273" s="1"/>
  <c r="G274" s="1"/>
  <c r="G275" s="1"/>
  <c r="G276" s="1"/>
  <c r="G277" s="1"/>
  <c r="G278" s="1"/>
  <c r="G279" s="1"/>
  <c r="G280" s="1"/>
  <c r="G281" s="1"/>
  <c r="G282" s="1"/>
  <c r="G283" s="1"/>
  <c r="G284" s="1"/>
  <c r="G285" s="1"/>
  <c r="G286" s="1"/>
  <c r="G287" s="1"/>
  <c r="G288" s="1"/>
  <c r="G289" s="1"/>
  <c r="G290" s="1"/>
  <c r="G291" s="1"/>
  <c r="G292" s="1"/>
  <c r="G293" s="1"/>
  <c r="G294" s="1"/>
  <c r="G295" s="1"/>
  <c r="G296" s="1"/>
  <c r="G297" s="1"/>
  <c r="G298" s="1"/>
  <c r="G299" s="1"/>
  <c r="G300" s="1"/>
  <c r="G301" s="1"/>
  <c r="G302" s="1"/>
  <c r="G303" s="1"/>
  <c r="G304" s="1"/>
  <c r="G305" s="1"/>
  <c r="G306" s="1"/>
  <c r="G307" s="1"/>
  <c r="G308" s="1"/>
  <c r="G309" s="1"/>
  <c r="G310" s="1"/>
  <c r="G311" s="1"/>
  <c r="G312" s="1"/>
  <c r="G313" s="1"/>
  <c r="G314" s="1"/>
  <c r="G315" s="1"/>
  <c r="G316" s="1"/>
  <c r="G317" s="1"/>
  <c r="G318" s="1"/>
  <c r="G319" s="1"/>
  <c r="G320" s="1"/>
  <c r="G321" s="1"/>
  <c r="G322" s="1"/>
  <c r="G323" s="1"/>
  <c r="G324" s="1"/>
  <c r="G325" s="1"/>
  <c r="G326" s="1"/>
  <c r="G327" s="1"/>
  <c r="G328" s="1"/>
  <c r="G329" s="1"/>
  <c r="G330" s="1"/>
  <c r="G331" s="1"/>
  <c r="G332" s="1"/>
  <c r="G333" s="1"/>
  <c r="G334" s="1"/>
  <c r="G335" s="1"/>
  <c r="G336" s="1"/>
  <c r="G337" s="1"/>
  <c r="G338" s="1"/>
  <c r="G339" s="1"/>
  <c r="G340" s="1"/>
  <c r="G341" s="1"/>
  <c r="G342" s="1"/>
  <c r="G343" s="1"/>
  <c r="G344" s="1"/>
  <c r="G345" s="1"/>
  <c r="G346" s="1"/>
  <c r="G347" s="1"/>
  <c r="G348" s="1"/>
  <c r="G349" s="1"/>
  <c r="G350" s="1"/>
  <c r="G351" s="1"/>
  <c r="G352" s="1"/>
  <c r="G353" s="1"/>
  <c r="G354" s="1"/>
  <c r="G355" s="1"/>
  <c r="G356" s="1"/>
  <c r="G357" s="1"/>
  <c r="G358" s="1"/>
  <c r="G359" s="1"/>
  <c r="G360" s="1"/>
  <c r="G361" s="1"/>
  <c r="G362" s="1"/>
  <c r="G363" s="1"/>
  <c r="G364" s="1"/>
  <c r="G365" s="1"/>
  <c r="G366" s="1"/>
  <c r="G367" s="1"/>
  <c r="G368" s="1"/>
  <c r="G369" s="1"/>
  <c r="G370" s="1"/>
  <c r="G371" s="1"/>
  <c r="G372" s="1"/>
  <c r="G373" s="1"/>
  <c r="G374" s="1"/>
  <c r="G375" s="1"/>
  <c r="G376" s="1"/>
  <c r="G377" s="1"/>
  <c r="G378" s="1"/>
  <c r="G379" s="1"/>
  <c r="G380" s="1"/>
  <c r="G381" s="1"/>
  <c r="G382" s="1"/>
  <c r="G383" s="1"/>
  <c r="G384" s="1"/>
  <c r="G385" s="1"/>
  <c r="G386" s="1"/>
  <c r="G387" s="1"/>
  <c r="G388" s="1"/>
  <c r="G389" s="1"/>
  <c r="G390" s="1"/>
  <c r="G391" s="1"/>
  <c r="G392" s="1"/>
  <c r="G393" s="1"/>
  <c r="G394" s="1"/>
  <c r="G395" s="1"/>
  <c r="G396" s="1"/>
  <c r="G397" s="1"/>
  <c r="G398" s="1"/>
  <c r="G399" s="1"/>
  <c r="G400" s="1"/>
  <c r="G401" s="1"/>
  <c r="G402" s="1"/>
  <c r="G403" s="1"/>
  <c r="G404" s="1"/>
  <c r="G405" s="1"/>
  <c r="G406" s="1"/>
  <c r="G407" s="1"/>
  <c r="G408" s="1"/>
  <c r="G409" s="1"/>
  <c r="G410" s="1"/>
  <c r="G411" s="1"/>
  <c r="G412" s="1"/>
  <c r="G413" s="1"/>
  <c r="G414" s="1"/>
  <c r="G415" s="1"/>
  <c r="G416" s="1"/>
  <c r="G417" s="1"/>
  <c r="G418" s="1"/>
  <c r="G419" s="1"/>
  <c r="G420" s="1"/>
  <c r="G421" s="1"/>
  <c r="G422" s="1"/>
  <c r="G423" s="1"/>
  <c r="G424" s="1"/>
  <c r="G425" s="1"/>
  <c r="G426" s="1"/>
  <c r="G427" s="1"/>
  <c r="G428" s="1"/>
  <c r="G429" s="1"/>
  <c r="G430" s="1"/>
  <c r="G431" s="1"/>
  <c r="G432" s="1"/>
  <c r="G433" s="1"/>
  <c r="G434" s="1"/>
  <c r="G435" s="1"/>
  <c r="G436" s="1"/>
  <c r="G437" s="1"/>
  <c r="G438" s="1"/>
  <c r="G439" s="1"/>
  <c r="G440" s="1"/>
  <c r="G441" s="1"/>
  <c r="G442" s="1"/>
  <c r="G443" s="1"/>
  <c r="G444" s="1"/>
  <c r="G445" s="1"/>
  <c r="G446" s="1"/>
  <c r="G447" s="1"/>
  <c r="G448" s="1"/>
  <c r="G449" s="1"/>
  <c r="G450" s="1"/>
  <c r="G451" s="1"/>
  <c r="G452" s="1"/>
  <c r="G453" s="1"/>
  <c r="G454" s="1"/>
  <c r="G455" s="1"/>
  <c r="G456" s="1"/>
  <c r="G457" s="1"/>
  <c r="G458" s="1"/>
  <c r="G459" s="1"/>
  <c r="G460" s="1"/>
  <c r="G461" s="1"/>
  <c r="G462" s="1"/>
  <c r="G463" s="1"/>
  <c r="G464" s="1"/>
  <c r="G465" s="1"/>
  <c r="G466" s="1"/>
  <c r="G467" s="1"/>
  <c r="G468" s="1"/>
  <c r="G469" s="1"/>
  <c r="G470" s="1"/>
  <c r="G471" s="1"/>
  <c r="G472" s="1"/>
  <c r="G473" s="1"/>
  <c r="G474" s="1"/>
  <c r="G475" s="1"/>
  <c r="G476" s="1"/>
  <c r="G477" s="1"/>
  <c r="G478" s="1"/>
  <c r="G479" s="1"/>
  <c r="G480" s="1"/>
  <c r="G481" s="1"/>
  <c r="G482" s="1"/>
  <c r="G483" s="1"/>
  <c r="G484" s="1"/>
  <c r="G485" s="1"/>
  <c r="G486" s="1"/>
  <c r="G487" s="1"/>
  <c r="G488" s="1"/>
  <c r="G489" s="1"/>
  <c r="G490" s="1"/>
  <c r="G491" s="1"/>
  <c r="G492" s="1"/>
  <c r="G493" s="1"/>
  <c r="G494" s="1"/>
  <c r="G495" s="1"/>
  <c r="G496" s="1"/>
  <c r="G497" s="1"/>
  <c r="G498" s="1"/>
  <c r="G499" s="1"/>
  <c r="G500" s="1"/>
  <c r="G501" s="1"/>
  <c r="G502" s="1"/>
  <c r="G503" s="1"/>
  <c r="G504" s="1"/>
  <c r="G505" s="1"/>
  <c r="G506" s="1"/>
  <c r="G507" s="1"/>
  <c r="G508" s="1"/>
  <c r="G509" s="1"/>
  <c r="G510" s="1"/>
  <c r="G511" s="1"/>
  <c r="G512" s="1"/>
  <c r="G513" s="1"/>
  <c r="G514" s="1"/>
  <c r="G515" s="1"/>
  <c r="G516" s="1"/>
  <c r="G517" s="1"/>
  <c r="G518" s="1"/>
  <c r="G519" s="1"/>
  <c r="G520" s="1"/>
  <c r="G521" s="1"/>
  <c r="G522" s="1"/>
  <c r="G523" s="1"/>
  <c r="G524" s="1"/>
  <c r="G525" s="1"/>
  <c r="G526" s="1"/>
  <c r="G527" s="1"/>
  <c r="G528" s="1"/>
  <c r="G529" s="1"/>
  <c r="G530" s="1"/>
  <c r="G531" s="1"/>
  <c r="G532" s="1"/>
  <c r="G533" s="1"/>
  <c r="G534" s="1"/>
  <c r="G535" s="1"/>
  <c r="G536" s="1"/>
  <c r="G537" s="1"/>
  <c r="G538" s="1"/>
  <c r="G539" s="1"/>
  <c r="G540" s="1"/>
  <c r="G541" s="1"/>
  <c r="G542" s="1"/>
  <c r="G543" s="1"/>
  <c r="G544" s="1"/>
  <c r="G545" s="1"/>
  <c r="G546" s="1"/>
  <c r="G547" s="1"/>
  <c r="G548" s="1"/>
  <c r="G549" s="1"/>
  <c r="G550" s="1"/>
  <c r="G551" s="1"/>
  <c r="G552" s="1"/>
  <c r="G553" s="1"/>
  <c r="G554" s="1"/>
  <c r="G555" s="1"/>
  <c r="G556" s="1"/>
  <c r="G557" s="1"/>
  <c r="G558" s="1"/>
  <c r="G559" s="1"/>
  <c r="G560" s="1"/>
  <c r="G561" s="1"/>
  <c r="G562" s="1"/>
  <c r="G563" s="1"/>
  <c r="G564" s="1"/>
  <c r="G565" s="1"/>
  <c r="G566" s="1"/>
  <c r="G567" s="1"/>
  <c r="G568" s="1"/>
  <c r="G569" s="1"/>
  <c r="G570" s="1"/>
  <c r="G571" s="1"/>
  <c r="G572" s="1"/>
  <c r="G573" s="1"/>
  <c r="G574" s="1"/>
  <c r="G575" s="1"/>
  <c r="G576" s="1"/>
  <c r="G577" s="1"/>
  <c r="G578" s="1"/>
  <c r="G579" s="1"/>
  <c r="G580" s="1"/>
  <c r="G581" s="1"/>
  <c r="G582" s="1"/>
  <c r="G583" s="1"/>
  <c r="G584" s="1"/>
  <c r="G585" s="1"/>
  <c r="G586" s="1"/>
  <c r="G587" s="1"/>
  <c r="G588" s="1"/>
  <c r="G589" s="1"/>
  <c r="G590" s="1"/>
  <c r="G591" s="1"/>
  <c r="G592" s="1"/>
  <c r="G593" s="1"/>
  <c r="G594" s="1"/>
  <c r="G595" s="1"/>
  <c r="G596" s="1"/>
  <c r="G597" s="1"/>
  <c r="E13" i="3"/>
  <c r="L14" i="29"/>
  <c r="I53"/>
  <c r="K4"/>
  <c r="A2" i="15"/>
  <c r="A7" i="16"/>
  <c r="A3" i="14" l="1"/>
  <c r="A3" i="4" s="1"/>
  <c r="A3" i="30"/>
  <c r="E10" i="2"/>
  <c r="I9"/>
  <c r="Z100" i="14" l="1"/>
  <c r="X100"/>
  <c r="V100"/>
  <c r="T100"/>
  <c r="R100"/>
  <c r="P100"/>
  <c r="N100"/>
  <c r="D25" i="29" s="1"/>
  <c r="H25" s="1"/>
  <c r="J25" s="1"/>
  <c r="L100" i="14"/>
  <c r="D24" i="29" s="1"/>
  <c r="H24" s="1"/>
  <c r="J24" s="1"/>
  <c r="J100" i="14"/>
  <c r="D23" i="29" s="1"/>
  <c r="H23" s="1"/>
  <c r="J23" s="1"/>
  <c r="H100" i="14"/>
  <c r="D22" i="29" s="1"/>
  <c r="H22" s="1"/>
  <c r="J22" s="1"/>
  <c r="F100" i="14"/>
  <c r="D21" i="29" s="1"/>
  <c r="A5" i="16"/>
  <c r="A2" i="30" s="1"/>
  <c r="A2" i="14" l="1"/>
  <c r="E8" i="3"/>
  <c r="E9"/>
  <c r="E11"/>
  <c r="E10"/>
  <c r="D26" i="29"/>
  <c r="H26" s="1"/>
  <c r="J26" s="1"/>
  <c r="H21"/>
  <c r="AB100" i="14"/>
  <c r="E100"/>
  <c r="E12" i="3" l="1"/>
  <c r="J21" i="29"/>
  <c r="B19" i="15"/>
  <c r="C39" i="2" s="1"/>
  <c r="F19" i="15"/>
  <c r="H39" i="2" s="1"/>
  <c r="A4" i="15"/>
  <c r="E7" i="3" l="1"/>
  <c r="A2" i="4"/>
  <c r="B3" i="2" s="1"/>
  <c r="A1" i="3" s="1"/>
  <c r="D9" i="15" l="1"/>
  <c r="AC100" i="14" l="1"/>
  <c r="C5" i="29" l="1"/>
  <c r="G5" s="1"/>
  <c r="G53" s="1"/>
  <c r="D28"/>
  <c r="K12" i="15"/>
  <c r="K5" i="29" l="1"/>
  <c r="E11" i="2" s="1"/>
  <c r="E16" s="1"/>
  <c r="H28" i="29"/>
  <c r="D53"/>
  <c r="F9" i="15"/>
  <c r="K53" i="29" l="1"/>
  <c r="J28"/>
  <c r="H53"/>
  <c r="E14" i="3" l="1"/>
  <c r="E15" s="1"/>
  <c r="E43" s="1"/>
  <c r="I22" i="2" s="1"/>
  <c r="J53" i="29"/>
  <c r="I54" s="1"/>
  <c r="L19" s="1"/>
  <c r="B5" i="2"/>
  <c r="A3" i="3" s="1"/>
  <c r="L53" i="29" l="1"/>
  <c r="G7" i="15" l="1"/>
  <c r="G8"/>
  <c r="G9" l="1"/>
  <c r="C53" i="29" l="1"/>
  <c r="E26" i="2"/>
  <c r="E30" s="1"/>
  <c r="I16"/>
  <c r="I26" l="1"/>
  <c r="I30" s="1"/>
  <c r="N30" l="1"/>
</calcChain>
</file>

<file path=xl/comments1.xml><?xml version="1.0" encoding="utf-8"?>
<comments xmlns="http://schemas.openxmlformats.org/spreadsheetml/2006/main">
  <authors>
    <author>USER</author>
  </authors>
  <commentList>
    <comment ref="B479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50x60rb stel batik
28x25rb rok kotak
40x10rb krudung
2 roll renda 20rb</t>
        </r>
      </text>
    </comment>
    <comment ref="B517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kemeja 50pcsx25rb
celana 22 pcsx25rb
Bordir krudung 68x6rb
potong krudung 28x5rb
2 sample krudung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spp 1: 150rb 21/6
spp 2 : 300rb 16/7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2jt + 400rb  16/7
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Awalnya 4jt, bayar 200rb 4/7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4jt + 200rb 27/7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2,4jt gedung
sisa 600 masuk kegiatan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awalnya 3.500.000
gedung 2,4jt
sisa 1,1jt 
uang kegiatn 850rb
pendftrn 250rb</t>
        </r>
      </text>
    </comment>
    <comment ref="J4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awalnya 900rb
dari uang gedung 850rb  30/3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Kegiatan : 790rb 8/6
Kegiatan 2 : 960rb 16/7</t>
        </r>
      </text>
    </comment>
  </commentList>
</comments>
</file>

<file path=xl/sharedStrings.xml><?xml version="1.0" encoding="utf-8"?>
<sst xmlns="http://schemas.openxmlformats.org/spreadsheetml/2006/main" count="472" uniqueCount="225">
  <si>
    <t/>
  </si>
  <si>
    <t>DEBET</t>
  </si>
  <si>
    <t>KREDIT</t>
  </si>
  <si>
    <t>NERACA</t>
  </si>
  <si>
    <t>Aktiva lancar</t>
  </si>
  <si>
    <t>Hutang</t>
  </si>
  <si>
    <t>Kas</t>
  </si>
  <si>
    <t>Bank</t>
  </si>
  <si>
    <t>Piutang</t>
  </si>
  <si>
    <t>Piutang Periode Sebelumnya</t>
  </si>
  <si>
    <t>Jumlah Aktiva Lancar</t>
  </si>
  <si>
    <t>Jumlah Hutang</t>
  </si>
  <si>
    <t>Aktiva Tetap</t>
  </si>
  <si>
    <t>Modal</t>
  </si>
  <si>
    <t>Tanah</t>
  </si>
  <si>
    <t>Modal Awal</t>
  </si>
  <si>
    <t>Gedung</t>
  </si>
  <si>
    <t>Setoran Modal</t>
  </si>
  <si>
    <t>Peralatan Kantor</t>
  </si>
  <si>
    <t>Prive</t>
  </si>
  <si>
    <t>Jumlah Aktiva Tetap</t>
  </si>
  <si>
    <t>Jumlah Modal</t>
  </si>
  <si>
    <t>TOTAL ALTIVA</t>
  </si>
  <si>
    <t>TOTAL PASIVA</t>
  </si>
  <si>
    <t>MENGETAHUI,</t>
  </si>
  <si>
    <t>Biaya Pemasaran</t>
  </si>
  <si>
    <t>LABA RUGI</t>
  </si>
  <si>
    <t>NO</t>
  </si>
  <si>
    <t>URAIAN</t>
  </si>
  <si>
    <t xml:space="preserve"> PENDAPATAN</t>
  </si>
  <si>
    <t>1</t>
  </si>
  <si>
    <t xml:space="preserve"> JUMLAH PENDAPATAN</t>
  </si>
  <si>
    <t xml:space="preserve"> BIAYA USAHA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</si>
  <si>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</si>
  <si>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</si>
  <si>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</si>
  <si>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</si>
  <si>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</si>
  <si>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</si>
  <si>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</si>
  <si>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</si>
  <si>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</si>
  <si>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</si>
  <si>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</si>
  <si>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</si>
  <si>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</si>
  <si>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</si>
  <si>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</si>
  <si>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</si>
  <si>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 xml:space="preserve"> JUMLAH BIAYA USAHA</t>
  </si>
  <si>
    <t xml:space="preserve"> LABA ( RUGI ) PERIODE BERJALAN</t>
  </si>
  <si>
    <t>BUKU KAS DAN BANK HARIAN</t>
  </si>
  <si>
    <t>Tanggal</t>
  </si>
  <si>
    <t>Uraian</t>
  </si>
  <si>
    <t>Nama Akun</t>
  </si>
  <si>
    <t>Debet</t>
  </si>
  <si>
    <t>Kredit</t>
  </si>
  <si>
    <t>Saldo</t>
  </si>
  <si>
    <t>TOTAL</t>
  </si>
  <si>
    <t>Pendapatan</t>
  </si>
  <si>
    <t>No Akun</t>
  </si>
  <si>
    <t>NAMA AKUN</t>
  </si>
  <si>
    <t>KELOMPOK KAS</t>
  </si>
  <si>
    <t>KELOMPOK Nrc /RL</t>
  </si>
  <si>
    <t>TIPE</t>
  </si>
  <si>
    <t>Aktifa Lancar</t>
  </si>
  <si>
    <t>KAS</t>
  </si>
  <si>
    <t>BANK</t>
  </si>
  <si>
    <t>Piutang Siswa</t>
  </si>
  <si>
    <t>Penjualan &amp; Penerimaan Piutang Siswa</t>
  </si>
  <si>
    <t>PENERIMAAN PEMBAYARAN PIUTANG</t>
  </si>
  <si>
    <t>Piutang Lain-Lain</t>
  </si>
  <si>
    <t>Biaya Dibayar Dimuka</t>
  </si>
  <si>
    <t>Aktifa Tetap</t>
  </si>
  <si>
    <t>Kendaraan</t>
  </si>
  <si>
    <t>Akumulasi Penyusutan Aktifa Tetap</t>
  </si>
  <si>
    <t>Kewajiban</t>
  </si>
  <si>
    <t>Setoran Modal Pemilik</t>
  </si>
  <si>
    <t>Laba (Rugi) Periode Sebelumnya</t>
  </si>
  <si>
    <t>Laba (Rugi) Periode Berjalan</t>
  </si>
  <si>
    <t>Penerimaan Dana Pendaftaran</t>
  </si>
  <si>
    <t>Pendapatan Lain-Lain</t>
  </si>
  <si>
    <t>Biaya Kebersihan &amp; Kemanan Kantor</t>
  </si>
  <si>
    <t>MANAGER</t>
  </si>
  <si>
    <t>ANGKA DIBAWAH INI HARUS BERNILAI "0"</t>
  </si>
  <si>
    <t>TGL</t>
  </si>
  <si>
    <t>SELISIH</t>
  </si>
  <si>
    <t>JULI</t>
  </si>
  <si>
    <t>AGUSTUS</t>
  </si>
  <si>
    <t>SEPTEMBER</t>
  </si>
  <si>
    <t>JUMLAH</t>
  </si>
  <si>
    <t>OKTOBER</t>
  </si>
  <si>
    <t>NOPEMBER</t>
  </si>
  <si>
    <t>DESEMBER</t>
  </si>
  <si>
    <t>JANUARI</t>
  </si>
  <si>
    <t>FEBRUARI</t>
  </si>
  <si>
    <t>MARET</t>
  </si>
  <si>
    <t>APRIL</t>
  </si>
  <si>
    <t>MEI</t>
  </si>
  <si>
    <t>JUNI</t>
  </si>
  <si>
    <t>NAMA</t>
  </si>
  <si>
    <t>KELAS</t>
  </si>
  <si>
    <t>BIAYA NET</t>
  </si>
  <si>
    <t>PIUTANG</t>
  </si>
  <si>
    <t>LAPORAN REKAPITULASI PERTAMBAHAN SISWA</t>
  </si>
  <si>
    <t>JENJANG PENDIDIKAN</t>
  </si>
  <si>
    <t>SANDI</t>
  </si>
  <si>
    <t>JUMLAH SISWA</t>
  </si>
  <si>
    <t>TOTAL SISWA</t>
  </si>
  <si>
    <t>JUMLAH TOTAL</t>
  </si>
  <si>
    <t>DATA SISWA DAN ANGSURAN</t>
  </si>
  <si>
    <t>KLS</t>
  </si>
  <si>
    <t>STAFF KEUANGAN CABANG</t>
  </si>
  <si>
    <t>PERIODE SEBELUMNYA</t>
  </si>
  <si>
    <t>BULAN LAPORAN</t>
  </si>
  <si>
    <t>LAPORAN BULANAN</t>
  </si>
  <si>
    <t>ISIKAN BULAN &amp; TAHUNNYA SAJA</t>
  </si>
  <si>
    <t>=</t>
  </si>
  <si>
    <t>SISWA KELUAR PERIODE SEBELUMNYA</t>
  </si>
  <si>
    <t>TOTAL ANGSURAN</t>
  </si>
  <si>
    <t>PENDAFT.</t>
  </si>
  <si>
    <t>:</t>
  </si>
  <si>
    <t>CABANG</t>
  </si>
  <si>
    <t>-</t>
  </si>
  <si>
    <t>MURDIYONO</t>
  </si>
  <si>
    <t>PEMBAYARAN</t>
  </si>
  <si>
    <t>CIREBON</t>
  </si>
  <si>
    <t>ANITA MERLINA</t>
  </si>
  <si>
    <t>AL MADEENA ISLAMIC SCHOOL CIREBON</t>
  </si>
  <si>
    <t>ID</t>
  </si>
  <si>
    <t>BIAYA  BIAYA</t>
  </si>
  <si>
    <t>STATUS</t>
  </si>
  <si>
    <t>ANGSURAN SPP 1</t>
  </si>
  <si>
    <t>ANGSURAN SPP 2</t>
  </si>
  <si>
    <t>ANGSURAN SPP 3</t>
  </si>
  <si>
    <t>ANGSURAN SPP 4</t>
  </si>
  <si>
    <t>ANGSURAN SPP 5</t>
  </si>
  <si>
    <t>ANGSURAN SPP 6</t>
  </si>
  <si>
    <t>GEDUNG</t>
  </si>
  <si>
    <t>KEGIATAN</t>
  </si>
  <si>
    <t>SERAGAM</t>
  </si>
  <si>
    <t>ATK</t>
  </si>
  <si>
    <t>SPP</t>
  </si>
  <si>
    <t>PLAYGROUP</t>
  </si>
  <si>
    <t>KINDERGARTEN</t>
  </si>
  <si>
    <t>KODE</t>
  </si>
  <si>
    <t>PG</t>
  </si>
  <si>
    <t>KG</t>
  </si>
  <si>
    <t>qs 42: 19</t>
  </si>
  <si>
    <t>QS 34 : 39</t>
  </si>
  <si>
    <t>AKTIF</t>
  </si>
  <si>
    <t>NON AKTIF</t>
  </si>
  <si>
    <t>STAFF KEUANGAN</t>
  </si>
  <si>
    <t>Target : 30 siswa.</t>
  </si>
  <si>
    <t>Target : 15 siswa.</t>
  </si>
  <si>
    <t>Siswa lama: 7 siswa</t>
  </si>
  <si>
    <t>Siswa lama : 18</t>
  </si>
  <si>
    <t>Penerimaan Uang Gedung</t>
  </si>
  <si>
    <t>Penerimaan Uang Kegiatan</t>
  </si>
  <si>
    <t>Penerimaan Uang Seragam</t>
  </si>
  <si>
    <t>Penerimaan Uang ATK</t>
  </si>
  <si>
    <t>Penerimaan Uang SPP</t>
  </si>
  <si>
    <t>Hutang Usaha</t>
  </si>
  <si>
    <t>CASHFLOW</t>
  </si>
  <si>
    <t>SALDO</t>
  </si>
  <si>
    <t>Hutang Lancar</t>
  </si>
  <si>
    <t>Biaya Jamuan dan Resepresntasi lainya</t>
  </si>
  <si>
    <t>Biaya Gaji</t>
  </si>
  <si>
    <t>Biaya Tunjangan Lain-Lain</t>
  </si>
  <si>
    <t>Biaya Konsumsi</t>
  </si>
  <si>
    <t>18</t>
  </si>
  <si>
    <t>NERACA SALDO</t>
  </si>
  <si>
    <t>PENYESUAIAN</t>
  </si>
  <si>
    <t>NS SETELAH PENYESUAIAN</t>
  </si>
  <si>
    <t>Penerimaan piutang siswa</t>
  </si>
  <si>
    <t>SPP*</t>
  </si>
  <si>
    <t>PENDAFTARAN</t>
  </si>
  <si>
    <t>RINCIAN BIAYA</t>
  </si>
  <si>
    <t>TGL MASUK</t>
  </si>
  <si>
    <t>DISKON*</t>
  </si>
  <si>
    <t>CIREBON, 01 JANUARI 2022</t>
  </si>
  <si>
    <t>Biaya ATK Kantor</t>
  </si>
  <si>
    <t>Biaya iuran - iuran</t>
  </si>
  <si>
    <t>Biaya bahan bakar</t>
  </si>
  <si>
    <t>Biaya Tunjangan</t>
  </si>
  <si>
    <t>Biaya PPDB</t>
  </si>
  <si>
    <t>Biaya Kegiatan Kesiswaan</t>
  </si>
  <si>
    <t>Biaya Peningkatan SDM</t>
  </si>
  <si>
    <t>Biaya Parenting</t>
  </si>
  <si>
    <t>Biaya Listrik, Internet dan Telepon</t>
  </si>
  <si>
    <t>Biaya Seragam Siswa</t>
  </si>
  <si>
    <t>Biaya ATK Siswa</t>
  </si>
  <si>
    <t>Biaya sarana dan prasarana</t>
  </si>
  <si>
    <t>Biaya sewa</t>
  </si>
  <si>
    <t>Biaya Perpustakaan</t>
  </si>
  <si>
    <t>Biaya owner</t>
  </si>
  <si>
    <t>Biaya SPP</t>
  </si>
  <si>
    <t>Biaya Pendaftaran</t>
  </si>
  <si>
    <t>Biaya Kegiatan</t>
  </si>
  <si>
    <t>Biaya Seragam</t>
  </si>
  <si>
    <t>Biaya ATK</t>
  </si>
  <si>
    <t>19</t>
  </si>
  <si>
    <t>20</t>
  </si>
  <si>
    <t>21</t>
  </si>
  <si>
    <t>22</t>
  </si>
  <si>
    <t>KATEGORI</t>
  </si>
  <si>
    <t>Biaya Admin bank</t>
  </si>
  <si>
    <t>Siblings</t>
  </si>
  <si>
    <t>Omar Nadda</t>
  </si>
  <si>
    <t>Pembangunan</t>
  </si>
  <si>
    <t>Arjuna</t>
  </si>
  <si>
    <t>Abizard</t>
  </si>
  <si>
    <t>Kaneez</t>
  </si>
  <si>
    <t>safin</t>
  </si>
  <si>
    <t>Asabul Kahfi 3,5 jt masuk k bank tp blm diganti</t>
  </si>
  <si>
    <t>Biaya learning kit</t>
  </si>
  <si>
    <t>Biaya Konsumsi dan Rumah tangga</t>
  </si>
  <si>
    <t xml:space="preserve">Evaluasi Pembelajaran </t>
  </si>
  <si>
    <t>Biaya Parenting/POMG</t>
  </si>
  <si>
    <t>Biaya Seragam Siswa dan SDM</t>
  </si>
  <si>
    <t>Biaya Kunjungan Dinas</t>
  </si>
  <si>
    <t xml:space="preserve">Pajak </t>
  </si>
  <si>
    <t>Biaya Gedung</t>
  </si>
  <si>
    <t>Biaya UKS</t>
  </si>
  <si>
    <t>23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</si>
</sst>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[$-421]dd\ mmmm\ yyyy;@"/>
    <numFmt numFmtId="165" formatCode="dd/mm/yy;@"/>
    <numFmt numFmtId="166" formatCode="[$-F800]dddd\,\ mmmm\ dd\,\ yyyy"/>
    <numFmt numFmtId="167" formatCode="_(* #,##0_);_(* \(#,##0\);_(* &quot;-&quot;??_);_(@_)"/>
    <numFmt numFmtId="168" formatCode="0;0;"/>
  </numFmts>
  <fonts count="53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u/>
      <sz val="9"/>
      <color rgb="FF000000"/>
      <name val="Arial"/>
      <family val="2"/>
    </font>
    <font>
      <b/>
      <sz val="14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1"/>
      <color rgb="FF00B050"/>
      <name val="Arial"/>
      <family val="2"/>
    </font>
    <font>
      <b/>
      <sz val="11"/>
      <color theme="0"/>
      <name val="Calibri"/>
      <family val="2"/>
      <charset val="1"/>
      <scheme val="minor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sz val="10"/>
      <color theme="1"/>
      <name val="Calibri"/>
      <family val="2"/>
      <charset val="1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charset val="1"/>
      <scheme val="minor"/>
    </font>
    <font>
      <sz val="10"/>
      <color rgb="FFFF33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</borders>
  <cellStyleXfs count="30">
    <xf numFmtId="0" fontId="0" fillId="0" borderId="0"/>
    <xf numFmtId="41" fontId="2" fillId="0" borderId="0" applyFont="0" applyFill="0" applyBorder="0" applyAlignment="0" applyProtection="0"/>
    <xf numFmtId="0" fontId="3" fillId="2" borderId="0">
      <alignment horizontal="left" vertical="top"/>
    </xf>
    <xf numFmtId="0" fontId="4" fillId="2" borderId="0">
      <alignment horizontal="center" vertical="center"/>
    </xf>
    <xf numFmtId="0" fontId="7" fillId="2" borderId="0">
      <alignment horizontal="center" vertical="top"/>
    </xf>
    <xf numFmtId="0" fontId="7" fillId="2" borderId="0">
      <alignment horizontal="center" vertical="top"/>
    </xf>
    <xf numFmtId="0" fontId="9" fillId="2" borderId="0">
      <alignment horizontal="center" vertical="top"/>
    </xf>
    <xf numFmtId="0" fontId="6" fillId="2" borderId="0">
      <alignment horizontal="center" vertical="center"/>
    </xf>
    <xf numFmtId="0" fontId="6" fillId="2" borderId="0">
      <alignment horizontal="right" vertical="center"/>
    </xf>
    <xf numFmtId="0" fontId="5" fillId="2" borderId="0">
      <alignment horizontal="left" vertical="center"/>
    </xf>
    <xf numFmtId="0" fontId="5" fillId="2" borderId="0">
      <alignment horizontal="center" vertical="center"/>
    </xf>
    <xf numFmtId="0" fontId="5" fillId="2" borderId="0">
      <alignment horizontal="center" vertical="center"/>
    </xf>
    <xf numFmtId="0" fontId="6" fillId="2" borderId="0">
      <alignment horizontal="center" vertical="center"/>
    </xf>
    <xf numFmtId="0" fontId="10" fillId="2" borderId="0">
      <alignment horizontal="center" vertical="center"/>
    </xf>
    <xf numFmtId="0" fontId="10" fillId="2" borderId="0">
      <alignment horizontal="center" vertical="center"/>
    </xf>
    <xf numFmtId="0" fontId="5" fillId="2" borderId="0">
      <alignment horizontal="center" vertical="top"/>
    </xf>
    <xf numFmtId="0" fontId="6" fillId="2" borderId="0">
      <alignment horizontal="center" vertical="center"/>
    </xf>
    <xf numFmtId="0" fontId="6" fillId="2" borderId="0">
      <alignment horizontal="center" vertical="center"/>
    </xf>
    <xf numFmtId="0" fontId="3" fillId="2" borderId="0">
      <alignment horizontal="left" vertical="top"/>
    </xf>
    <xf numFmtId="0" fontId="6" fillId="2" borderId="0">
      <alignment horizontal="left" vertical="center"/>
    </xf>
    <xf numFmtId="0" fontId="6" fillId="2" borderId="0">
      <alignment horizontal="right" vertical="center"/>
    </xf>
    <xf numFmtId="0" fontId="7" fillId="2" borderId="0">
      <alignment horizontal="right" vertical="center"/>
    </xf>
    <xf numFmtId="0" fontId="7" fillId="2" borderId="0">
      <alignment horizontal="right" vertical="center"/>
    </xf>
    <xf numFmtId="0" fontId="7" fillId="2" borderId="0">
      <alignment horizontal="left" vertical="center"/>
    </xf>
    <xf numFmtId="0" fontId="7" fillId="2" borderId="0">
      <alignment horizontal="right" vertical="center"/>
    </xf>
    <xf numFmtId="0" fontId="7" fillId="2" borderId="0">
      <alignment horizontal="center" vertical="center"/>
    </xf>
    <xf numFmtId="0" fontId="7" fillId="2" borderId="0">
      <alignment horizontal="center" vertical="center"/>
    </xf>
    <xf numFmtId="0" fontId="18" fillId="0" borderId="0"/>
    <xf numFmtId="0" fontId="2" fillId="0" borderId="0"/>
    <xf numFmtId="43" fontId="2" fillId="0" borderId="0" applyFont="0" applyFill="0" applyBorder="0" applyAlignment="0" applyProtection="0"/>
  </cellStyleXfs>
  <cellXfs count="451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0" applyFont="1" applyFill="1"/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0" xfId="0" applyProtection="1">
      <protection hidden="1"/>
    </xf>
    <xf numFmtId="0" fontId="0" fillId="0" borderId="6" xfId="0" applyBorder="1" applyProtection="1">
      <protection hidden="1"/>
    </xf>
    <xf numFmtId="0" fontId="12" fillId="0" borderId="0" xfId="0" applyFont="1" applyBorder="1" applyAlignment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0" xfId="0" applyBorder="1" applyProtection="1">
      <protection hidden="1"/>
    </xf>
    <xf numFmtId="0" fontId="8" fillId="0" borderId="0" xfId="0" applyFont="1" applyBorder="1" applyProtection="1">
      <protection hidden="1"/>
    </xf>
    <xf numFmtId="0" fontId="0" fillId="0" borderId="11" xfId="0" applyBorder="1" applyProtection="1">
      <protection hidden="1"/>
    </xf>
    <xf numFmtId="41" fontId="2" fillId="0" borderId="0" xfId="1" applyFont="1" applyBorder="1" applyProtection="1">
      <protection hidden="1"/>
    </xf>
    <xf numFmtId="41" fontId="2" fillId="0" borderId="11" xfId="1" applyFont="1" applyBorder="1" applyProtection="1">
      <protection hidden="1"/>
    </xf>
    <xf numFmtId="41" fontId="0" fillId="0" borderId="0" xfId="0" applyNumberFormat="1" applyProtection="1">
      <protection hidden="1"/>
    </xf>
    <xf numFmtId="41" fontId="0" fillId="0" borderId="0" xfId="1" applyFont="1" applyProtection="1">
      <protection hidden="1"/>
    </xf>
    <xf numFmtId="41" fontId="8" fillId="0" borderId="0" xfId="1" applyFont="1" applyBorder="1" applyProtection="1">
      <protection hidden="1"/>
    </xf>
    <xf numFmtId="0" fontId="15" fillId="0" borderId="0" xfId="0" applyFont="1" applyProtection="1">
      <protection hidden="1"/>
    </xf>
    <xf numFmtId="0" fontId="8" fillId="0" borderId="6" xfId="0" applyFont="1" applyBorder="1" applyProtection="1">
      <protection hidden="1"/>
    </xf>
    <xf numFmtId="41" fontId="8" fillId="0" borderId="12" xfId="0" applyNumberFormat="1" applyFont="1" applyBorder="1" applyProtection="1">
      <protection hidden="1"/>
    </xf>
    <xf numFmtId="41" fontId="8" fillId="0" borderId="0" xfId="0" applyNumberFormat="1" applyFont="1" applyBorder="1" applyProtection="1">
      <protection hidden="1"/>
    </xf>
    <xf numFmtId="0" fontId="8" fillId="0" borderId="7" xfId="0" applyFont="1" applyBorder="1" applyProtection="1">
      <protection hidden="1"/>
    </xf>
    <xf numFmtId="41" fontId="15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166" fontId="0" fillId="0" borderId="0" xfId="0" applyNumberFormat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49" fontId="8" fillId="0" borderId="0" xfId="0" applyNumberFormat="1" applyFont="1" applyAlignment="1" applyProtection="1">
      <alignment horizontal="right"/>
      <protection hidden="1"/>
    </xf>
    <xf numFmtId="14" fontId="0" fillId="0" borderId="0" xfId="0" applyNumberFormat="1" applyProtection="1">
      <protection hidden="1"/>
    </xf>
    <xf numFmtId="14" fontId="0" fillId="0" borderId="0" xfId="0" applyNumberFormat="1" applyAlignment="1" applyProtection="1">
      <alignment horizontal="left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6" fillId="0" borderId="0" xfId="0" applyFont="1" applyFill="1"/>
    <xf numFmtId="0" fontId="23" fillId="0" borderId="0" xfId="0" applyFont="1" applyFill="1"/>
    <xf numFmtId="41" fontId="23" fillId="0" borderId="0" xfId="1" applyFont="1" applyFill="1"/>
    <xf numFmtId="41" fontId="25" fillId="0" borderId="0" xfId="0" applyNumberFormat="1" applyFont="1" applyBorder="1" applyProtection="1">
      <protection hidden="1"/>
    </xf>
    <xf numFmtId="0" fontId="21" fillId="0" borderId="0" xfId="0" applyFont="1" applyProtection="1">
      <protection hidden="1"/>
    </xf>
    <xf numFmtId="41" fontId="21" fillId="0" borderId="0" xfId="1" applyFont="1" applyProtection="1">
      <protection hidden="1"/>
    </xf>
    <xf numFmtId="41" fontId="26" fillId="0" borderId="0" xfId="0" applyNumberFormat="1" applyFont="1" applyProtection="1">
      <protection hidden="1"/>
    </xf>
    <xf numFmtId="41" fontId="21" fillId="0" borderId="0" xfId="0" applyNumberFormat="1" applyFont="1" applyProtection="1">
      <protection hidden="1"/>
    </xf>
    <xf numFmtId="0" fontId="22" fillId="0" borderId="0" xfId="0" applyFont="1"/>
    <xf numFmtId="0" fontId="0" fillId="0" borderId="0" xfId="0" applyFill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8" fillId="0" borderId="0" xfId="0" applyFont="1" applyFill="1" applyProtection="1"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center" vertical="center"/>
      <protection hidden="1"/>
    </xf>
    <xf numFmtId="0" fontId="8" fillId="0" borderId="13" xfId="0" applyFont="1" applyFill="1" applyBorder="1" applyAlignment="1" applyProtection="1">
      <alignment horizontal="center" vertical="center"/>
      <protection hidden="1"/>
    </xf>
    <xf numFmtId="0" fontId="8" fillId="0" borderId="14" xfId="0" applyFont="1" applyFill="1" applyBorder="1" applyAlignment="1" applyProtection="1">
      <alignment horizontal="center" vertical="center"/>
      <protection hidden="1"/>
    </xf>
    <xf numFmtId="0" fontId="0" fillId="0" borderId="2" xfId="0" applyFill="1" applyBorder="1" applyProtection="1">
      <protection hidden="1"/>
    </xf>
    <xf numFmtId="0" fontId="0" fillId="0" borderId="2" xfId="0" applyFill="1" applyBorder="1" applyAlignment="1" applyProtection="1">
      <alignment horizontal="center" vertical="center"/>
      <protection hidden="1"/>
    </xf>
    <xf numFmtId="0" fontId="19" fillId="0" borderId="0" xfId="0" applyFont="1" applyFill="1" applyAlignment="1" applyProtection="1">
      <alignment horizontal="center" vertical="center"/>
      <protection hidden="1"/>
    </xf>
    <xf numFmtId="0" fontId="1" fillId="0" borderId="2" xfId="27" applyFont="1" applyFill="1" applyBorder="1"/>
    <xf numFmtId="41" fontId="1" fillId="0" borderId="2" xfId="1" applyFont="1" applyFill="1" applyBorder="1"/>
    <xf numFmtId="0" fontId="1" fillId="0" borderId="0" xfId="27" applyFont="1" applyFill="1" applyAlignment="1">
      <alignment horizontal="center"/>
    </xf>
    <xf numFmtId="0" fontId="1" fillId="0" borderId="0" xfId="27" applyFont="1" applyFill="1"/>
    <xf numFmtId="0" fontId="29" fillId="0" borderId="1" xfId="27" applyFont="1" applyFill="1" applyBorder="1" applyAlignment="1"/>
    <xf numFmtId="0" fontId="29" fillId="0" borderId="15" xfId="27" applyFont="1" applyFill="1" applyBorder="1" applyAlignment="1"/>
    <xf numFmtId="0" fontId="29" fillId="0" borderId="2" xfId="27" applyFont="1" applyFill="1" applyBorder="1" applyAlignment="1" applyProtection="1">
      <alignment horizontal="center" vertical="center"/>
      <protection hidden="1"/>
    </xf>
    <xf numFmtId="0" fontId="1" fillId="0" borderId="2" xfId="27" applyFont="1" applyFill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0" xfId="0" applyFill="1" applyAlignment="1" applyProtection="1">
      <alignment horizontal="center"/>
      <protection hidden="1"/>
    </xf>
    <xf numFmtId="0" fontId="19" fillId="0" borderId="0" xfId="0" applyFont="1" applyFill="1" applyAlignment="1" applyProtection="1">
      <alignment horizontal="center" vertical="center"/>
      <protection hidden="1"/>
    </xf>
    <xf numFmtId="0" fontId="1" fillId="0" borderId="23" xfId="27" applyFont="1" applyFill="1" applyBorder="1" applyAlignment="1">
      <alignment vertical="center"/>
    </xf>
    <xf numFmtId="41" fontId="28" fillId="0" borderId="23" xfId="1" applyFont="1" applyBorder="1" applyAlignment="1" applyProtection="1">
      <alignment horizontal="center" vertical="center"/>
      <protection locked="0"/>
    </xf>
    <xf numFmtId="41" fontId="1" fillId="0" borderId="23" xfId="1" applyFont="1" applyFill="1" applyBorder="1" applyAlignment="1" applyProtection="1">
      <alignment horizontal="center"/>
      <protection locked="0"/>
    </xf>
    <xf numFmtId="41" fontId="16" fillId="0" borderId="0" xfId="1" applyFont="1" applyFill="1" applyBorder="1"/>
    <xf numFmtId="41" fontId="16" fillId="0" borderId="0" xfId="1" applyFont="1" applyFill="1"/>
    <xf numFmtId="41" fontId="23" fillId="0" borderId="14" xfId="1" applyFont="1" applyFill="1" applyBorder="1" applyAlignment="1">
      <alignment horizontal="center" vertical="center"/>
    </xf>
    <xf numFmtId="0" fontId="23" fillId="0" borderId="2" xfId="0" applyFont="1" applyFill="1" applyBorder="1"/>
    <xf numFmtId="41" fontId="23" fillId="0" borderId="2" xfId="1" applyFont="1" applyFill="1" applyBorder="1"/>
    <xf numFmtId="0" fontId="23" fillId="0" borderId="24" xfId="0" applyFont="1" applyFill="1" applyBorder="1" applyAlignment="1">
      <alignment horizontal="left" vertical="center"/>
    </xf>
    <xf numFmtId="41" fontId="23" fillId="0" borderId="2" xfId="1" applyFont="1" applyFill="1" applyBorder="1" applyAlignment="1">
      <alignment horizontal="center" vertical="center"/>
    </xf>
    <xf numFmtId="41" fontId="23" fillId="0" borderId="17" xfId="1" applyFont="1" applyFill="1" applyBorder="1"/>
    <xf numFmtId="167" fontId="23" fillId="0" borderId="2" xfId="29" applyNumberFormat="1" applyFont="1" applyFill="1" applyBorder="1"/>
    <xf numFmtId="167" fontId="23" fillId="0" borderId="19" xfId="29" applyNumberFormat="1" applyFont="1" applyFill="1" applyBorder="1" applyAlignment="1">
      <alignment horizontal="center" vertical="center"/>
    </xf>
    <xf numFmtId="167" fontId="23" fillId="0" borderId="19" xfId="29" applyNumberFormat="1" applyFont="1" applyFill="1" applyBorder="1"/>
    <xf numFmtId="41" fontId="23" fillId="0" borderId="19" xfId="1" applyFont="1" applyFill="1" applyBorder="1"/>
    <xf numFmtId="0" fontId="23" fillId="0" borderId="28" xfId="0" applyFont="1" applyFill="1" applyBorder="1" applyAlignment="1">
      <alignment horizontal="left" vertical="center"/>
    </xf>
    <xf numFmtId="41" fontId="23" fillId="0" borderId="23" xfId="1" applyFont="1" applyFill="1" applyBorder="1"/>
    <xf numFmtId="167" fontId="23" fillId="0" borderId="23" xfId="29" applyNumberFormat="1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/>
    <xf numFmtId="0" fontId="23" fillId="0" borderId="2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4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/>
    <xf numFmtId="0" fontId="8" fillId="0" borderId="20" xfId="0" applyFont="1" applyBorder="1" applyAlignment="1">
      <alignment horizontal="centerContinuous"/>
    </xf>
    <xf numFmtId="0" fontId="8" fillId="0" borderId="21" xfId="0" applyFont="1" applyBorder="1" applyAlignment="1">
      <alignment horizontal="centerContinuous"/>
    </xf>
    <xf numFmtId="0" fontId="8" fillId="0" borderId="21" xfId="0" applyFont="1" applyBorder="1" applyAlignment="1">
      <alignment horizontal="centerContinuous" vertical="center"/>
    </xf>
    <xf numFmtId="0" fontId="8" fillId="0" borderId="22" xfId="0" applyFont="1" applyBorder="1" applyAlignment="1">
      <alignment horizontal="centerContinuous"/>
    </xf>
    <xf numFmtId="41" fontId="17" fillId="0" borderId="0" xfId="1" applyFont="1" applyFill="1"/>
    <xf numFmtId="168" fontId="23" fillId="0" borderId="2" xfId="0" applyNumberFormat="1" applyFont="1" applyFill="1" applyBorder="1" applyAlignment="1">
      <alignment horizontal="center" vertical="center"/>
    </xf>
    <xf numFmtId="168" fontId="16" fillId="0" borderId="0" xfId="0" applyNumberFormat="1" applyFont="1" applyFill="1"/>
    <xf numFmtId="168" fontId="23" fillId="0" borderId="0" xfId="0" applyNumberFormat="1" applyFont="1" applyFill="1" applyAlignment="1">
      <alignment horizontal="center" vertical="center"/>
    </xf>
    <xf numFmtId="165" fontId="1" fillId="0" borderId="2" xfId="27" applyNumberFormat="1" applyFont="1" applyFill="1" applyBorder="1"/>
    <xf numFmtId="165" fontId="23" fillId="0" borderId="21" xfId="0" applyNumberFormat="1" applyFont="1" applyFill="1" applyBorder="1" applyAlignment="1"/>
    <xf numFmtId="165" fontId="23" fillId="0" borderId="22" xfId="0" applyNumberFormat="1" applyFont="1" applyFill="1" applyBorder="1" applyAlignment="1"/>
    <xf numFmtId="0" fontId="31" fillId="0" borderId="0" xfId="0" applyFont="1"/>
    <xf numFmtId="0" fontId="31" fillId="0" borderId="0" xfId="0" applyFont="1" applyAlignment="1">
      <alignment horizontal="left"/>
    </xf>
    <xf numFmtId="0" fontId="1" fillId="0" borderId="19" xfId="0" applyFont="1" applyBorder="1"/>
    <xf numFmtId="0" fontId="0" fillId="0" borderId="19" xfId="0" applyBorder="1"/>
    <xf numFmtId="41" fontId="7" fillId="2" borderId="19" xfId="1" applyFont="1" applyFill="1" applyBorder="1" applyAlignment="1" applyProtection="1">
      <alignment horizontal="right" vertical="center" wrapText="1"/>
      <protection hidden="1"/>
    </xf>
    <xf numFmtId="0" fontId="1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9" xfId="17" quotePrefix="1" applyBorder="1" applyAlignment="1" applyProtection="1">
      <alignment horizontal="center" vertical="center" wrapText="1"/>
      <protection hidden="1"/>
    </xf>
    <xf numFmtId="0" fontId="6" fillId="2" borderId="19" xfId="19" quotePrefix="1" applyBorder="1" applyAlignment="1" applyProtection="1">
      <alignment horizontal="left" vertical="center" wrapText="1"/>
      <protection hidden="1"/>
    </xf>
    <xf numFmtId="41" fontId="6" fillId="2" borderId="19" xfId="1" applyFont="1" applyFill="1" applyBorder="1" applyAlignment="1" applyProtection="1">
      <alignment horizontal="right" vertical="center" wrapText="1"/>
      <protection hidden="1"/>
    </xf>
    <xf numFmtId="0" fontId="7" fillId="2" borderId="19" xfId="26" quotePrefix="1" applyBorder="1" applyAlignment="1" applyProtection="1">
      <alignment horizontal="center" vertical="center" wrapText="1"/>
      <protection hidden="1"/>
    </xf>
    <xf numFmtId="0" fontId="7" fillId="2" borderId="19" xfId="23" applyBorder="1" applyAlignment="1" applyProtection="1">
      <alignment horizontal="left" vertical="center" wrapText="1"/>
      <protection hidden="1"/>
    </xf>
    <xf numFmtId="41" fontId="0" fillId="0" borderId="2" xfId="1" applyFont="1" applyBorder="1"/>
    <xf numFmtId="41" fontId="0" fillId="0" borderId="2" xfId="1" applyFont="1" applyBorder="1" applyAlignment="1">
      <alignment horizontal="left" vertical="center"/>
    </xf>
    <xf numFmtId="41" fontId="0" fillId="0" borderId="19" xfId="1" applyFont="1" applyBorder="1"/>
    <xf numFmtId="41" fontId="0" fillId="0" borderId="2" xfId="1" applyFont="1" applyBorder="1" applyAlignment="1">
      <alignment horizontal="center"/>
    </xf>
    <xf numFmtId="41" fontId="1" fillId="0" borderId="2" xfId="1" applyFont="1" applyBorder="1" applyAlignment="1">
      <alignment horizontal="left" vertical="center"/>
    </xf>
    <xf numFmtId="41" fontId="1" fillId="0" borderId="2" xfId="1" applyFont="1" applyBorder="1"/>
    <xf numFmtId="41" fontId="1" fillId="0" borderId="19" xfId="1" applyFont="1" applyBorder="1"/>
    <xf numFmtId="41" fontId="1" fillId="0" borderId="19" xfId="1" applyFont="1" applyBorder="1" applyAlignment="1">
      <alignment horizontal="left" vertical="center"/>
    </xf>
    <xf numFmtId="41" fontId="0" fillId="0" borderId="19" xfId="1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1" fontId="0" fillId="0" borderId="0" xfId="0" applyNumberFormat="1"/>
    <xf numFmtId="0" fontId="29" fillId="0" borderId="2" xfId="27" applyFont="1" applyFill="1" applyBorder="1" applyAlignment="1">
      <alignment horizontal="center"/>
    </xf>
    <xf numFmtId="0" fontId="29" fillId="0" borderId="2" xfId="0" applyFont="1" applyFill="1" applyBorder="1" applyAlignment="1">
      <alignment horizontal="center"/>
    </xf>
    <xf numFmtId="165" fontId="23" fillId="0" borderId="0" xfId="0" applyNumberFormat="1" applyFont="1" applyFill="1" applyAlignment="1">
      <alignment horizontal="centerContinuous"/>
    </xf>
    <xf numFmtId="0" fontId="0" fillId="0" borderId="0" xfId="0" applyBorder="1" applyAlignment="1" applyProtection="1">
      <alignment horizontal="centerContinuous"/>
      <protection hidden="1"/>
    </xf>
    <xf numFmtId="0" fontId="12" fillId="0" borderId="0" xfId="0" applyFont="1" applyBorder="1" applyAlignment="1" applyProtection="1">
      <alignment horizontal="centerContinuous"/>
      <protection hidden="1"/>
    </xf>
    <xf numFmtId="0" fontId="8" fillId="0" borderId="0" xfId="0" applyFont="1" applyAlignment="1" applyProtection="1">
      <alignment horizontal="centerContinuous"/>
      <protection hidden="1"/>
    </xf>
    <xf numFmtId="0" fontId="8" fillId="0" borderId="0" xfId="0" applyFont="1" applyFill="1" applyAlignment="1" applyProtection="1">
      <protection hidden="1"/>
    </xf>
    <xf numFmtId="0" fontId="8" fillId="0" borderId="0" xfId="0" applyFont="1" applyFill="1" applyAlignment="1" applyProtection="1">
      <alignment horizontal="centerContinuous"/>
      <protection hidden="1"/>
    </xf>
    <xf numFmtId="14" fontId="0" fillId="0" borderId="0" xfId="0" applyNumberFormat="1" applyFill="1" applyProtection="1">
      <protection hidden="1"/>
    </xf>
    <xf numFmtId="0" fontId="6" fillId="8" borderId="19" xfId="17" quotePrefix="1" applyFill="1" applyBorder="1" applyAlignment="1" applyProtection="1">
      <alignment horizontal="center" vertical="center" wrapText="1"/>
      <protection hidden="1"/>
    </xf>
    <xf numFmtId="41" fontId="6" fillId="8" borderId="19" xfId="1" quotePrefix="1" applyFont="1" applyFill="1" applyBorder="1" applyAlignment="1" applyProtection="1">
      <alignment horizontal="center" vertical="center" wrapText="1"/>
      <protection hidden="1"/>
    </xf>
    <xf numFmtId="0" fontId="1" fillId="0" borderId="27" xfId="0" applyFont="1" applyFill="1" applyBorder="1"/>
    <xf numFmtId="0" fontId="32" fillId="0" borderId="0" xfId="0" applyFont="1" applyFill="1"/>
    <xf numFmtId="0" fontId="1" fillId="0" borderId="23" xfId="0" applyFont="1" applyFill="1" applyBorder="1"/>
    <xf numFmtId="0" fontId="23" fillId="0" borderId="23" xfId="0" applyFont="1" applyFill="1" applyBorder="1"/>
    <xf numFmtId="0" fontId="1" fillId="6" borderId="2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right"/>
    </xf>
    <xf numFmtId="0" fontId="29" fillId="11" borderId="14" xfId="27" applyFont="1" applyFill="1" applyBorder="1" applyAlignment="1" applyProtection="1">
      <alignment horizontal="center" vertical="center"/>
      <protection locked="0"/>
    </xf>
    <xf numFmtId="0" fontId="29" fillId="11" borderId="14" xfId="27" applyFont="1" applyFill="1" applyBorder="1" applyAlignment="1" applyProtection="1">
      <alignment horizontal="center" vertical="center" wrapText="1"/>
      <protection locked="0"/>
    </xf>
    <xf numFmtId="0" fontId="29" fillId="11" borderId="10" xfId="27" applyFont="1" applyFill="1" applyBorder="1" applyAlignment="1" applyProtection="1">
      <alignment horizontal="center" vertical="center"/>
      <protection locked="0"/>
    </xf>
    <xf numFmtId="41" fontId="29" fillId="11" borderId="14" xfId="1" applyFont="1" applyFill="1" applyBorder="1" applyAlignment="1" applyProtection="1">
      <alignment horizontal="center" vertical="center"/>
      <protection locked="0"/>
    </xf>
    <xf numFmtId="41" fontId="29" fillId="11" borderId="8" xfId="1" applyFont="1" applyFill="1" applyBorder="1" applyAlignment="1" applyProtection="1">
      <alignment horizontal="center" vertical="center"/>
      <protection locked="0"/>
    </xf>
    <xf numFmtId="0" fontId="1" fillId="0" borderId="2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16" fontId="1" fillId="0" borderId="0" xfId="27" applyNumberFormat="1" applyFont="1" applyFill="1" applyAlignment="1">
      <alignment horizontal="center"/>
    </xf>
    <xf numFmtId="41" fontId="1" fillId="0" borderId="0" xfId="1" applyFont="1" applyFill="1" applyAlignment="1">
      <alignment horizontal="center"/>
    </xf>
    <xf numFmtId="16" fontId="1" fillId="0" borderId="0" xfId="1" applyNumberFormat="1" applyFont="1" applyFill="1" applyAlignment="1">
      <alignment horizontal="center"/>
    </xf>
    <xf numFmtId="41" fontId="1" fillId="0" borderId="0" xfId="1" applyFont="1" applyFill="1"/>
    <xf numFmtId="16" fontId="1" fillId="0" borderId="0" xfId="1" applyNumberFormat="1" applyFont="1" applyFill="1"/>
    <xf numFmtId="14" fontId="1" fillId="0" borderId="0" xfId="27" applyNumberFormat="1" applyFont="1" applyFill="1"/>
    <xf numFmtId="16" fontId="1" fillId="0" borderId="0" xfId="27" applyNumberFormat="1" applyFont="1" applyFill="1"/>
    <xf numFmtId="42" fontId="1" fillId="0" borderId="0" xfId="27" applyNumberFormat="1" applyFont="1" applyFill="1"/>
    <xf numFmtId="0" fontId="29" fillId="0" borderId="0" xfId="0" applyFont="1" applyFill="1"/>
    <xf numFmtId="41" fontId="29" fillId="10" borderId="23" xfId="1" applyFont="1" applyFill="1" applyBorder="1" applyAlignment="1" applyProtection="1">
      <alignment horizontal="center" vertical="center"/>
      <protection locked="0"/>
    </xf>
    <xf numFmtId="16" fontId="29" fillId="10" borderId="23" xfId="1" applyNumberFormat="1" applyFont="1" applyFill="1" applyBorder="1" applyAlignment="1" applyProtection="1">
      <alignment horizontal="center" vertical="center"/>
      <protection locked="0"/>
    </xf>
    <xf numFmtId="16" fontId="29" fillId="10" borderId="23" xfId="27" applyNumberFormat="1" applyFont="1" applyFill="1" applyBorder="1" applyAlignment="1" applyProtection="1">
      <alignment horizontal="center" vertical="center"/>
      <protection locked="0"/>
    </xf>
    <xf numFmtId="42" fontId="29" fillId="10" borderId="23" xfId="27" applyNumberFormat="1" applyFont="1" applyFill="1" applyBorder="1" applyAlignment="1" applyProtection="1">
      <alignment horizontal="center" vertical="center"/>
      <protection locked="0"/>
    </xf>
    <xf numFmtId="41" fontId="1" fillId="6" borderId="14" xfId="1" applyFont="1" applyFill="1" applyBorder="1"/>
    <xf numFmtId="41" fontId="1" fillId="0" borderId="14" xfId="1" applyFont="1" applyFill="1" applyBorder="1"/>
    <xf numFmtId="41" fontId="1" fillId="0" borderId="17" xfId="1" applyFont="1" applyFill="1" applyBorder="1"/>
    <xf numFmtId="165" fontId="1" fillId="0" borderId="17" xfId="27" applyNumberFormat="1" applyFont="1" applyFill="1" applyBorder="1"/>
    <xf numFmtId="0" fontId="1" fillId="0" borderId="2" xfId="0" applyFont="1" applyFill="1" applyBorder="1"/>
    <xf numFmtId="41" fontId="1" fillId="0" borderId="2" xfId="27" applyNumberFormat="1" applyFont="1" applyFill="1" applyBorder="1"/>
    <xf numFmtId="41" fontId="1" fillId="0" borderId="2" xfId="1" applyNumberFormat="1" applyFont="1" applyFill="1" applyBorder="1"/>
    <xf numFmtId="0" fontId="29" fillId="0" borderId="2" xfId="27" applyFont="1" applyFill="1" applyBorder="1"/>
    <xf numFmtId="41" fontId="29" fillId="0" borderId="2" xfId="1" applyFont="1" applyFill="1" applyBorder="1" applyAlignment="1">
      <alignment horizontal="center"/>
    </xf>
    <xf numFmtId="16" fontId="29" fillId="0" borderId="2" xfId="1" applyNumberFormat="1" applyFont="1" applyFill="1" applyBorder="1" applyAlignment="1">
      <alignment horizontal="center"/>
    </xf>
    <xf numFmtId="16" fontId="29" fillId="0" borderId="2" xfId="27" applyNumberFormat="1" applyFont="1" applyFill="1" applyBorder="1"/>
    <xf numFmtId="16" fontId="29" fillId="0" borderId="2" xfId="1" applyNumberFormat="1" applyFont="1" applyFill="1" applyBorder="1"/>
    <xf numFmtId="41" fontId="29" fillId="0" borderId="2" xfId="1" applyFont="1" applyFill="1" applyBorder="1"/>
    <xf numFmtId="14" fontId="29" fillId="0" borderId="2" xfId="27" applyNumberFormat="1" applyFont="1" applyFill="1" applyBorder="1"/>
    <xf numFmtId="0" fontId="29" fillId="0" borderId="21" xfId="27" applyFont="1" applyFill="1" applyBorder="1" applyAlignment="1">
      <alignment horizontal="center"/>
    </xf>
    <xf numFmtId="16" fontId="1" fillId="0" borderId="0" xfId="0" applyNumberFormat="1" applyFont="1" applyFill="1"/>
    <xf numFmtId="14" fontId="1" fillId="0" borderId="0" xfId="0" applyNumberFormat="1" applyFont="1" applyFill="1"/>
    <xf numFmtId="165" fontId="1" fillId="0" borderId="14" xfId="1" applyNumberFormat="1" applyFont="1" applyFill="1" applyBorder="1"/>
    <xf numFmtId="41" fontId="1" fillId="0" borderId="27" xfId="1" applyNumberFormat="1" applyFont="1" applyFill="1" applyBorder="1"/>
    <xf numFmtId="41" fontId="1" fillId="0" borderId="27" xfId="0" applyNumberFormat="1" applyFont="1" applyFill="1" applyBorder="1"/>
    <xf numFmtId="41" fontId="1" fillId="9" borderId="27" xfId="1" applyNumberFormat="1" applyFont="1" applyFill="1" applyBorder="1"/>
    <xf numFmtId="41" fontId="1" fillId="0" borderId="28" xfId="1" applyNumberFormat="1" applyFont="1" applyFill="1" applyBorder="1"/>
    <xf numFmtId="41" fontId="1" fillId="0" borderId="23" xfId="0" applyNumberFormat="1" applyFont="1" applyFill="1" applyBorder="1"/>
    <xf numFmtId="41" fontId="1" fillId="9" borderId="23" xfId="1" applyNumberFormat="1" applyFont="1" applyFill="1" applyBorder="1"/>
    <xf numFmtId="41" fontId="1" fillId="0" borderId="23" xfId="1" applyNumberFormat="1" applyFont="1" applyFill="1" applyBorder="1"/>
    <xf numFmtId="41" fontId="1" fillId="0" borderId="20" xfId="1" applyNumberFormat="1" applyFont="1" applyFill="1" applyBorder="1"/>
    <xf numFmtId="0" fontId="23" fillId="11" borderId="24" xfId="0" applyFont="1" applyFill="1" applyBorder="1" applyAlignment="1">
      <alignment horizontal="left" vertical="center"/>
    </xf>
    <xf numFmtId="0" fontId="23" fillId="11" borderId="2" xfId="0" applyFont="1" applyFill="1" applyBorder="1"/>
    <xf numFmtId="168" fontId="23" fillId="11" borderId="2" xfId="0" applyNumberFormat="1" applyFont="1" applyFill="1" applyBorder="1" applyAlignment="1">
      <alignment horizontal="center" vertical="center"/>
    </xf>
    <xf numFmtId="41" fontId="23" fillId="11" borderId="2" xfId="1" applyFont="1" applyFill="1" applyBorder="1"/>
    <xf numFmtId="41" fontId="23" fillId="11" borderId="14" xfId="1" applyFont="1" applyFill="1" applyBorder="1" applyAlignment="1">
      <alignment horizontal="center" vertical="center"/>
    </xf>
    <xf numFmtId="0" fontId="1" fillId="0" borderId="0" xfId="27" applyFont="1" applyFill="1" applyAlignment="1"/>
    <xf numFmtId="0" fontId="1" fillId="0" borderId="0" xfId="27" applyFont="1" applyFill="1" applyAlignment="1">
      <alignment horizontal="right"/>
    </xf>
    <xf numFmtId="41" fontId="29" fillId="5" borderId="24" xfId="1" applyFont="1" applyFill="1" applyBorder="1" applyAlignment="1" applyProtection="1">
      <alignment horizontal="centerContinuous" vertical="center"/>
      <protection locked="0"/>
    </xf>
    <xf numFmtId="41" fontId="29" fillId="5" borderId="25" xfId="1" applyFont="1" applyFill="1" applyBorder="1" applyAlignment="1" applyProtection="1">
      <alignment horizontal="centerContinuous" vertical="center"/>
      <protection locked="0"/>
    </xf>
    <xf numFmtId="41" fontId="29" fillId="5" borderId="26" xfId="1" applyFont="1" applyFill="1" applyBorder="1" applyAlignment="1" applyProtection="1">
      <alignment horizontal="centerContinuous" vertical="center"/>
      <protection locked="0"/>
    </xf>
    <xf numFmtId="41" fontId="29" fillId="5" borderId="23" xfId="1" applyFont="1" applyFill="1" applyBorder="1" applyAlignment="1" applyProtection="1">
      <alignment horizontal="center" vertical="center"/>
      <protection locked="0"/>
    </xf>
    <xf numFmtId="41" fontId="29" fillId="5" borderId="23" xfId="1" applyFont="1" applyFill="1" applyBorder="1" applyAlignment="1" applyProtection="1">
      <alignment horizontal="center" vertical="center" wrapText="1"/>
      <protection locked="0"/>
    </xf>
    <xf numFmtId="0" fontId="35" fillId="0" borderId="23" xfId="0" applyFont="1" applyBorder="1"/>
    <xf numFmtId="0" fontId="1" fillId="0" borderId="23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16" fontId="23" fillId="11" borderId="2" xfId="0" applyNumberFormat="1" applyFont="1" applyFill="1" applyBorder="1" applyAlignment="1">
      <alignment horizontal="right"/>
    </xf>
    <xf numFmtId="0" fontId="23" fillId="11" borderId="28" xfId="0" applyFont="1" applyFill="1" applyBorder="1" applyAlignment="1">
      <alignment horizontal="left" vertical="center"/>
    </xf>
    <xf numFmtId="0" fontId="29" fillId="12" borderId="22" xfId="0" applyFont="1" applyFill="1" applyBorder="1" applyAlignment="1">
      <alignment horizontal="center" vertical="center"/>
    </xf>
    <xf numFmtId="0" fontId="29" fillId="12" borderId="23" xfId="0" applyFont="1" applyFill="1" applyBorder="1"/>
    <xf numFmtId="0" fontId="29" fillId="12" borderId="23" xfId="0" applyFont="1" applyFill="1" applyBorder="1" applyAlignment="1">
      <alignment horizontal="right"/>
    </xf>
    <xf numFmtId="0" fontId="29" fillId="12" borderId="27" xfId="0" applyFont="1" applyFill="1" applyBorder="1"/>
    <xf numFmtId="41" fontId="29" fillId="12" borderId="23" xfId="0" applyNumberFormat="1" applyFont="1" applyFill="1" applyBorder="1"/>
    <xf numFmtId="0" fontId="23" fillId="12" borderId="28" xfId="0" applyFont="1" applyFill="1" applyBorder="1" applyAlignment="1">
      <alignment horizontal="left" vertical="center"/>
    </xf>
    <xf numFmtId="0" fontId="1" fillId="0" borderId="23" xfId="0" applyFont="1" applyBorder="1"/>
    <xf numFmtId="0" fontId="0" fillId="0" borderId="23" xfId="0" applyBorder="1" applyAlignment="1">
      <alignment horizontal="left" vertical="center"/>
    </xf>
    <xf numFmtId="41" fontId="1" fillId="0" borderId="23" xfId="1" applyFont="1" applyBorder="1"/>
    <xf numFmtId="0" fontId="1" fillId="0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13" borderId="26" xfId="0" applyFont="1" applyFill="1" applyBorder="1" applyAlignment="1">
      <alignment horizontal="center" vertical="center"/>
    </xf>
    <xf numFmtId="0" fontId="1" fillId="13" borderId="23" xfId="0" applyFont="1" applyFill="1" applyBorder="1"/>
    <xf numFmtId="0" fontId="6" fillId="2" borderId="23" xfId="19" quotePrefix="1" applyBorder="1" applyAlignment="1" applyProtection="1">
      <alignment horizontal="left" vertical="center" wrapText="1"/>
      <protection hidden="1"/>
    </xf>
    <xf numFmtId="0" fontId="6" fillId="8" borderId="23" xfId="17" applyFill="1" applyBorder="1" applyAlignment="1" applyProtection="1">
      <alignment horizontal="center" vertical="center" wrapText="1"/>
      <protection hidden="1"/>
    </xf>
    <xf numFmtId="0" fontId="7" fillId="0" borderId="19" xfId="23" applyFill="1" applyBorder="1" applyAlignment="1" applyProtection="1">
      <alignment horizontal="left" vertical="center" wrapText="1"/>
      <protection hidden="1"/>
    </xf>
    <xf numFmtId="41" fontId="38" fillId="11" borderId="2" xfId="1" applyFont="1" applyFill="1" applyBorder="1"/>
    <xf numFmtId="41" fontId="23" fillId="11" borderId="19" xfId="1" applyFont="1" applyFill="1" applyBorder="1"/>
    <xf numFmtId="0" fontId="16" fillId="0" borderId="0" xfId="0" applyFont="1" applyFill="1" applyBorder="1"/>
    <xf numFmtId="41" fontId="23" fillId="0" borderId="20" xfId="1" applyFont="1" applyFill="1" applyBorder="1"/>
    <xf numFmtId="41" fontId="38" fillId="11" borderId="20" xfId="1" applyFont="1" applyFill="1" applyBorder="1"/>
    <xf numFmtId="0" fontId="23" fillId="0" borderId="0" xfId="0" applyFont="1" applyFill="1" applyBorder="1" applyAlignment="1">
      <alignment horizontal="left" vertical="center"/>
    </xf>
    <xf numFmtId="0" fontId="23" fillId="4" borderId="0" xfId="0" applyFont="1" applyFill="1" applyBorder="1" applyAlignment="1">
      <alignment horizontal="left" vertical="center"/>
    </xf>
    <xf numFmtId="16" fontId="27" fillId="0" borderId="23" xfId="0" applyNumberFormat="1" applyFont="1" applyBorder="1" applyAlignment="1">
      <alignment horizontal="right"/>
    </xf>
    <xf numFmtId="0" fontId="27" fillId="0" borderId="23" xfId="0" applyFont="1" applyBorder="1" applyAlignment="1">
      <alignment vertical="center"/>
    </xf>
    <xf numFmtId="0" fontId="23" fillId="4" borderId="23" xfId="0" applyFont="1" applyFill="1" applyBorder="1" applyAlignment="1">
      <alignment horizontal="left" vertical="center"/>
    </xf>
    <xf numFmtId="16" fontId="24" fillId="0" borderId="0" xfId="0" applyNumberFormat="1" applyFont="1" applyFill="1" applyAlignment="1">
      <alignment horizontal="centerContinuous"/>
    </xf>
    <xf numFmtId="16" fontId="23" fillId="0" borderId="2" xfId="0" applyNumberFormat="1" applyFont="1" applyFill="1" applyBorder="1" applyAlignment="1">
      <alignment horizontal="center"/>
    </xf>
    <xf numFmtId="16" fontId="23" fillId="0" borderId="23" xfId="0" applyNumberFormat="1" applyFont="1" applyFill="1" applyBorder="1" applyAlignment="1">
      <alignment horizontal="right"/>
    </xf>
    <xf numFmtId="16" fontId="23" fillId="0" borderId="2" xfId="0" applyNumberFormat="1" applyFont="1" applyFill="1" applyBorder="1" applyAlignment="1">
      <alignment horizontal="right"/>
    </xf>
    <xf numFmtId="16" fontId="23" fillId="11" borderId="23" xfId="0" applyNumberFormat="1" applyFont="1" applyFill="1" applyBorder="1" applyAlignment="1">
      <alignment horizontal="right"/>
    </xf>
    <xf numFmtId="16" fontId="23" fillId="0" borderId="14" xfId="0" applyNumberFormat="1" applyFont="1" applyFill="1" applyBorder="1" applyAlignment="1">
      <alignment horizontal="right"/>
    </xf>
    <xf numFmtId="16" fontId="23" fillId="0" borderId="14" xfId="0" applyNumberFormat="1" applyFont="1" applyFill="1" applyBorder="1" applyAlignment="1">
      <alignment horizontal="center"/>
    </xf>
    <xf numFmtId="16" fontId="23" fillId="0" borderId="20" xfId="0" applyNumberFormat="1" applyFont="1" applyFill="1" applyBorder="1" applyAlignment="1"/>
    <xf numFmtId="16" fontId="23" fillId="0" borderId="0" xfId="0" applyNumberFormat="1" applyFont="1" applyFill="1" applyAlignment="1">
      <alignment horizontal="center"/>
    </xf>
    <xf numFmtId="16" fontId="23" fillId="0" borderId="0" xfId="0" applyNumberFormat="1" applyFont="1" applyFill="1"/>
    <xf numFmtId="16" fontId="1" fillId="0" borderId="14" xfId="1" applyNumberFormat="1" applyFont="1" applyFill="1" applyBorder="1"/>
    <xf numFmtId="16" fontId="1" fillId="0" borderId="14" xfId="27" applyNumberFormat="1" applyFont="1" applyFill="1" applyBorder="1"/>
    <xf numFmtId="16" fontId="37" fillId="0" borderId="2" xfId="0" applyNumberFormat="1" applyFont="1" applyFill="1" applyBorder="1" applyAlignment="1">
      <alignment horizontal="right"/>
    </xf>
    <xf numFmtId="0" fontId="37" fillId="0" borderId="28" xfId="0" applyFont="1" applyFill="1" applyBorder="1" applyAlignment="1">
      <alignment horizontal="left" vertical="center"/>
    </xf>
    <xf numFmtId="0" fontId="37" fillId="0" borderId="2" xfId="0" applyFont="1" applyFill="1" applyBorder="1"/>
    <xf numFmtId="168" fontId="37" fillId="0" borderId="2" xfId="0" applyNumberFormat="1" applyFont="1" applyFill="1" applyBorder="1" applyAlignment="1">
      <alignment horizontal="center" vertical="center"/>
    </xf>
    <xf numFmtId="41" fontId="37" fillId="0" borderId="2" xfId="1" applyFont="1" applyFill="1" applyBorder="1"/>
    <xf numFmtId="0" fontId="1" fillId="5" borderId="2" xfId="27" applyFont="1" applyFill="1" applyBorder="1" applyAlignment="1">
      <alignment horizontal="center"/>
    </xf>
    <xf numFmtId="0" fontId="1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41" fontId="1" fillId="5" borderId="14" xfId="1" applyFont="1" applyFill="1" applyBorder="1"/>
    <xf numFmtId="16" fontId="1" fillId="5" borderId="14" xfId="1" applyNumberFormat="1" applyFont="1" applyFill="1" applyBorder="1"/>
    <xf numFmtId="41" fontId="1" fillId="5" borderId="2" xfId="1" applyFont="1" applyFill="1" applyBorder="1"/>
    <xf numFmtId="165" fontId="1" fillId="5" borderId="14" xfId="1" applyNumberFormat="1" applyFont="1" applyFill="1" applyBorder="1"/>
    <xf numFmtId="165" fontId="1" fillId="5" borderId="2" xfId="27" applyNumberFormat="1" applyFont="1" applyFill="1" applyBorder="1"/>
    <xf numFmtId="0" fontId="1" fillId="5" borderId="2" xfId="27" applyFont="1" applyFill="1" applyBorder="1"/>
    <xf numFmtId="41" fontId="1" fillId="5" borderId="17" xfId="1" applyFont="1" applyFill="1" applyBorder="1"/>
    <xf numFmtId="165" fontId="1" fillId="5" borderId="17" xfId="27" applyNumberFormat="1" applyFont="1" applyFill="1" applyBorder="1"/>
    <xf numFmtId="0" fontId="1" fillId="5" borderId="2" xfId="0" applyFont="1" applyFill="1" applyBorder="1" applyAlignment="1">
      <alignment horizontal="left" vertical="center"/>
    </xf>
    <xf numFmtId="0" fontId="27" fillId="15" borderId="23" xfId="0" applyFont="1" applyFill="1" applyBorder="1" applyAlignment="1">
      <alignment vertical="center"/>
    </xf>
    <xf numFmtId="41" fontId="39" fillId="0" borderId="20" xfId="1" applyNumberFormat="1" applyFont="1" applyFill="1" applyBorder="1"/>
    <xf numFmtId="41" fontId="39" fillId="9" borderId="23" xfId="1" applyNumberFormat="1" applyFont="1" applyFill="1" applyBorder="1"/>
    <xf numFmtId="0" fontId="1" fillId="13" borderId="22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right"/>
    </xf>
    <xf numFmtId="0" fontId="1" fillId="13" borderId="27" xfId="0" applyFont="1" applyFill="1" applyBorder="1"/>
    <xf numFmtId="41" fontId="1" fillId="13" borderId="23" xfId="0" applyNumberFormat="1" applyFont="1" applyFill="1" applyBorder="1"/>
    <xf numFmtId="41" fontId="1" fillId="13" borderId="23" xfId="1" applyNumberFormat="1" applyFont="1" applyFill="1" applyBorder="1"/>
    <xf numFmtId="41" fontId="1" fillId="13" borderId="20" xfId="1" applyNumberFormat="1" applyFont="1" applyFill="1" applyBorder="1"/>
    <xf numFmtId="41" fontId="36" fillId="13" borderId="23" xfId="0" applyNumberFormat="1" applyFont="1" applyFill="1" applyBorder="1"/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/>
    <xf numFmtId="0" fontId="1" fillId="4" borderId="23" xfId="0" applyFont="1" applyFill="1" applyBorder="1" applyAlignment="1">
      <alignment horizontal="right"/>
    </xf>
    <xf numFmtId="0" fontId="1" fillId="4" borderId="27" xfId="0" applyFont="1" applyFill="1" applyBorder="1"/>
    <xf numFmtId="41" fontId="1" fillId="4" borderId="23" xfId="0" applyNumberFormat="1" applyFont="1" applyFill="1" applyBorder="1"/>
    <xf numFmtId="41" fontId="1" fillId="4" borderId="23" xfId="1" applyNumberFormat="1" applyFont="1" applyFill="1" applyBorder="1"/>
    <xf numFmtId="41" fontId="1" fillId="4" borderId="20" xfId="1" applyNumberFormat="1" applyFont="1" applyFill="1" applyBorder="1"/>
    <xf numFmtId="0" fontId="1" fillId="4" borderId="0" xfId="0" applyFont="1" applyFill="1"/>
    <xf numFmtId="0" fontId="23" fillId="0" borderId="23" xfId="27" applyFont="1" applyFill="1" applyBorder="1"/>
    <xf numFmtId="41" fontId="29" fillId="0" borderId="0" xfId="1" applyFont="1" applyFill="1"/>
    <xf numFmtId="41" fontId="41" fillId="0" borderId="0" xfId="1" applyFont="1" applyFill="1" applyBorder="1"/>
    <xf numFmtId="41" fontId="38" fillId="0" borderId="2" xfId="1" applyFont="1" applyFill="1" applyBorder="1"/>
    <xf numFmtId="41" fontId="15" fillId="0" borderId="0" xfId="1" applyFont="1" applyBorder="1" applyProtection="1">
      <protection hidden="1"/>
    </xf>
    <xf numFmtId="16" fontId="23" fillId="14" borderId="14" xfId="0" applyNumberFormat="1" applyFont="1" applyFill="1" applyBorder="1" applyAlignment="1">
      <alignment horizontal="right"/>
    </xf>
    <xf numFmtId="0" fontId="23" fillId="14" borderId="24" xfId="0" applyFont="1" applyFill="1" applyBorder="1" applyAlignment="1">
      <alignment horizontal="left" vertical="center"/>
    </xf>
    <xf numFmtId="0" fontId="23" fillId="14" borderId="2" xfId="0" applyFont="1" applyFill="1" applyBorder="1"/>
    <xf numFmtId="168" fontId="23" fillId="14" borderId="2" xfId="0" applyNumberFormat="1" applyFont="1" applyFill="1" applyBorder="1" applyAlignment="1">
      <alignment horizontal="center" vertical="center"/>
    </xf>
    <xf numFmtId="41" fontId="23" fillId="14" borderId="19" xfId="1" applyFont="1" applyFill="1" applyBorder="1"/>
    <xf numFmtId="41" fontId="23" fillId="14" borderId="2" xfId="1" applyFont="1" applyFill="1" applyBorder="1"/>
    <xf numFmtId="41" fontId="40" fillId="0" borderId="0" xfId="1" applyFont="1" applyFill="1"/>
    <xf numFmtId="0" fontId="23" fillId="4" borderId="23" xfId="0" applyFont="1" applyFill="1" applyBorder="1" applyAlignment="1">
      <alignment vertical="center"/>
    </xf>
    <xf numFmtId="0" fontId="23" fillId="0" borderId="23" xfId="0" applyFont="1" applyFill="1" applyBorder="1" applyAlignment="1">
      <alignment horizontal="left" vertical="center"/>
    </xf>
    <xf numFmtId="41" fontId="1" fillId="5" borderId="2" xfId="1" applyFont="1" applyFill="1" applyBorder="1" applyAlignment="1"/>
    <xf numFmtId="41" fontId="42" fillId="0" borderId="19" xfId="1" applyFont="1" applyFill="1" applyBorder="1"/>
    <xf numFmtId="41" fontId="42" fillId="0" borderId="2" xfId="1" applyFont="1" applyFill="1" applyBorder="1"/>
    <xf numFmtId="41" fontId="42" fillId="0" borderId="17" xfId="1" applyFont="1" applyFill="1" applyBorder="1"/>
    <xf numFmtId="41" fontId="43" fillId="0" borderId="23" xfId="1" applyFont="1" applyFill="1" applyBorder="1"/>
    <xf numFmtId="0" fontId="23" fillId="14" borderId="28" xfId="0" applyFont="1" applyFill="1" applyBorder="1" applyAlignment="1">
      <alignment horizontal="left" vertical="center"/>
    </xf>
    <xf numFmtId="41" fontId="23" fillId="14" borderId="23" xfId="1" applyFont="1" applyFill="1" applyBorder="1"/>
    <xf numFmtId="0" fontId="27" fillId="4" borderId="23" xfId="0" applyFont="1" applyFill="1" applyBorder="1" applyAlignment="1">
      <alignment vertical="center"/>
    </xf>
    <xf numFmtId="41" fontId="23" fillId="0" borderId="0" xfId="1" applyFont="1" applyFill="1" applyAlignment="1">
      <alignment horizontal="centerContinuous"/>
    </xf>
    <xf numFmtId="41" fontId="23" fillId="0" borderId="19" xfId="1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left" vertical="center"/>
    </xf>
    <xf numFmtId="0" fontId="23" fillId="4" borderId="24" xfId="0" applyFont="1" applyFill="1" applyBorder="1" applyAlignment="1">
      <alignment horizontal="left" vertical="center"/>
    </xf>
    <xf numFmtId="0" fontId="23" fillId="15" borderId="29" xfId="0" applyFont="1" applyFill="1" applyBorder="1" applyAlignment="1">
      <alignment horizontal="left" vertical="center"/>
    </xf>
    <xf numFmtId="0" fontId="23" fillId="4" borderId="23" xfId="0" applyFont="1" applyFill="1" applyBorder="1"/>
    <xf numFmtId="0" fontId="23" fillId="15" borderId="23" xfId="0" applyFont="1" applyFill="1" applyBorder="1"/>
    <xf numFmtId="0" fontId="23" fillId="4" borderId="2" xfId="0" applyFont="1" applyFill="1" applyBorder="1"/>
    <xf numFmtId="41" fontId="37" fillId="0" borderId="19" xfId="1" applyFont="1" applyFill="1" applyBorder="1"/>
    <xf numFmtId="0" fontId="23" fillId="0" borderId="6" xfId="0" applyFont="1" applyFill="1" applyBorder="1" applyAlignment="1">
      <alignment horizontal="left" vertical="center"/>
    </xf>
    <xf numFmtId="16" fontId="23" fillId="0" borderId="23" xfId="0" applyNumberFormat="1" applyFont="1" applyFill="1" applyBorder="1" applyAlignment="1">
      <alignment horizontal="center"/>
    </xf>
    <xf numFmtId="16" fontId="37" fillId="0" borderId="14" xfId="0" applyNumberFormat="1" applyFont="1" applyFill="1" applyBorder="1" applyAlignment="1">
      <alignment horizontal="center"/>
    </xf>
    <xf numFmtId="0" fontId="37" fillId="0" borderId="24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4" borderId="23" xfId="0" applyFont="1" applyFill="1" applyBorder="1" applyAlignment="1">
      <alignment vertical="center"/>
    </xf>
    <xf numFmtId="41" fontId="1" fillId="16" borderId="0" xfId="1" applyFont="1" applyFill="1"/>
    <xf numFmtId="0" fontId="36" fillId="5" borderId="2" xfId="27" applyFont="1" applyFill="1" applyBorder="1" applyAlignment="1">
      <alignment horizontal="center"/>
    </xf>
    <xf numFmtId="0" fontId="36" fillId="5" borderId="2" xfId="27" applyFont="1" applyFill="1" applyBorder="1"/>
    <xf numFmtId="0" fontId="36" fillId="5" borderId="2" xfId="0" applyFont="1" applyFill="1" applyBorder="1" applyAlignment="1">
      <alignment vertical="center"/>
    </xf>
    <xf numFmtId="12" fontId="1" fillId="5" borderId="14" xfId="1" applyNumberFormat="1" applyFont="1" applyFill="1" applyBorder="1"/>
    <xf numFmtId="0" fontId="36" fillId="5" borderId="2" xfId="0" applyFont="1" applyFill="1" applyBorder="1"/>
    <xf numFmtId="0" fontId="36" fillId="5" borderId="2" xfId="0" applyFont="1" applyFill="1" applyBorder="1" applyAlignment="1">
      <alignment horizontal="left" vertical="center"/>
    </xf>
    <xf numFmtId="41" fontId="30" fillId="0" borderId="23" xfId="1" applyFont="1" applyFill="1" applyBorder="1"/>
    <xf numFmtId="167" fontId="30" fillId="0" borderId="2" xfId="29" applyNumberFormat="1" applyFont="1" applyFill="1" applyBorder="1"/>
    <xf numFmtId="41" fontId="30" fillId="0" borderId="19" xfId="1" applyFont="1" applyFill="1" applyBorder="1"/>
    <xf numFmtId="41" fontId="38" fillId="0" borderId="23" xfId="1" applyFont="1" applyFill="1" applyBorder="1"/>
    <xf numFmtId="16" fontId="23" fillId="14" borderId="14" xfId="0" applyNumberFormat="1" applyFont="1" applyFill="1" applyBorder="1" applyAlignment="1">
      <alignment horizontal="center"/>
    </xf>
    <xf numFmtId="0" fontId="23" fillId="14" borderId="23" xfId="0" applyFont="1" applyFill="1" applyBorder="1"/>
    <xf numFmtId="0" fontId="23" fillId="0" borderId="30" xfId="0" applyFont="1" applyFill="1" applyBorder="1"/>
    <xf numFmtId="0" fontId="1" fillId="5" borderId="2" xfId="0" applyFont="1" applyFill="1" applyBorder="1"/>
    <xf numFmtId="0" fontId="1" fillId="17" borderId="23" xfId="0" applyFont="1" applyFill="1" applyBorder="1" applyAlignment="1">
      <alignment vertical="center"/>
    </xf>
    <xf numFmtId="0" fontId="0" fillId="0" borderId="0" xfId="0" applyFont="1"/>
    <xf numFmtId="0" fontId="27" fillId="0" borderId="0" xfId="0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0" fillId="0" borderId="23" xfId="0" applyBorder="1"/>
    <xf numFmtId="0" fontId="51" fillId="11" borderId="2" xfId="0" applyFont="1" applyFill="1" applyBorder="1" applyAlignment="1">
      <alignment horizontal="center"/>
    </xf>
    <xf numFmtId="0" fontId="51" fillId="18" borderId="2" xfId="0" applyFont="1" applyFill="1" applyBorder="1" applyAlignment="1">
      <alignment horizontal="center"/>
    </xf>
    <xf numFmtId="0" fontId="48" fillId="18" borderId="23" xfId="0" applyFont="1" applyFill="1" applyBorder="1" applyAlignment="1">
      <alignment wrapText="1"/>
    </xf>
    <xf numFmtId="0" fontId="49" fillId="11" borderId="23" xfId="0" applyFont="1" applyFill="1" applyBorder="1" applyAlignment="1">
      <alignment wrapText="1"/>
    </xf>
    <xf numFmtId="0" fontId="50" fillId="11" borderId="23" xfId="0" applyFont="1" applyFill="1" applyBorder="1" applyAlignment="1">
      <alignment wrapText="1"/>
    </xf>
    <xf numFmtId="0" fontId="27" fillId="7" borderId="23" xfId="0" applyFont="1" applyFill="1" applyBorder="1" applyAlignment="1">
      <alignment horizontal="center"/>
    </xf>
    <xf numFmtId="0" fontId="27" fillId="19" borderId="23" xfId="0" applyFont="1" applyFill="1" applyBorder="1" applyAlignment="1">
      <alignment horizontal="center"/>
    </xf>
    <xf numFmtId="0" fontId="48" fillId="19" borderId="23" xfId="0" applyFont="1" applyFill="1" applyBorder="1" applyAlignment="1">
      <alignment vertical="center" wrapText="1"/>
    </xf>
    <xf numFmtId="0" fontId="48" fillId="19" borderId="23" xfId="0" applyFont="1" applyFill="1" applyBorder="1" applyAlignment="1">
      <alignment vertical="center"/>
    </xf>
    <xf numFmtId="0" fontId="27" fillId="12" borderId="23" xfId="0" applyFont="1" applyFill="1" applyBorder="1" applyAlignment="1">
      <alignment horizontal="center"/>
    </xf>
    <xf numFmtId="0" fontId="49" fillId="12" borderId="23" xfId="0" applyFont="1" applyFill="1" applyBorder="1" applyAlignment="1">
      <alignment wrapText="1"/>
    </xf>
    <xf numFmtId="0" fontId="50" fillId="12" borderId="23" xfId="0" applyFont="1" applyFill="1" applyBorder="1" applyAlignment="1">
      <alignment wrapText="1"/>
    </xf>
    <xf numFmtId="0" fontId="48" fillId="12" borderId="23" xfId="0" applyFont="1" applyFill="1" applyBorder="1"/>
    <xf numFmtId="0" fontId="50" fillId="12" borderId="23" xfId="0" applyFont="1" applyFill="1" applyBorder="1"/>
    <xf numFmtId="0" fontId="27" fillId="7" borderId="2" xfId="0" applyFont="1" applyFill="1" applyBorder="1" applyAlignment="1">
      <alignment horizontal="center"/>
    </xf>
    <xf numFmtId="0" fontId="27" fillId="7" borderId="2" xfId="0" applyFont="1" applyFill="1" applyBorder="1" applyAlignment="1">
      <alignment vertical="center"/>
    </xf>
    <xf numFmtId="0" fontId="27" fillId="7" borderId="2" xfId="0" applyFont="1" applyFill="1" applyBorder="1"/>
    <xf numFmtId="41" fontId="28" fillId="5" borderId="2" xfId="1" applyFont="1" applyFill="1" applyBorder="1"/>
    <xf numFmtId="41" fontId="28" fillId="0" borderId="2" xfId="1" applyFont="1" applyFill="1" applyBorder="1"/>
    <xf numFmtId="0" fontId="52" fillId="5" borderId="2" xfId="0" applyFont="1" applyFill="1" applyBorder="1" applyAlignment="1">
      <alignment vertical="center"/>
    </xf>
    <xf numFmtId="0" fontId="52" fillId="5" borderId="2" xfId="0" applyFont="1" applyFill="1" applyBorder="1" applyAlignment="1">
      <alignment horizontal="left" vertical="center"/>
    </xf>
    <xf numFmtId="0" fontId="1" fillId="4" borderId="2" xfId="27" applyFont="1" applyFill="1" applyBorder="1" applyAlignment="1">
      <alignment horizontal="center"/>
    </xf>
    <xf numFmtId="0" fontId="1" fillId="20" borderId="2" xfId="27" applyFont="1" applyFill="1" applyBorder="1" applyAlignment="1">
      <alignment horizontal="center"/>
    </xf>
    <xf numFmtId="0" fontId="1" fillId="20" borderId="2" xfId="27" applyFont="1" applyFill="1" applyBorder="1"/>
    <xf numFmtId="0" fontId="1" fillId="20" borderId="2" xfId="0" applyFont="1" applyFill="1" applyBorder="1" applyAlignment="1">
      <alignment horizontal="left" vertical="center"/>
    </xf>
    <xf numFmtId="0" fontId="1" fillId="20" borderId="2" xfId="0" applyFont="1" applyFill="1" applyBorder="1" applyAlignment="1">
      <alignment horizontal="center" vertical="center"/>
    </xf>
    <xf numFmtId="41" fontId="1" fillId="20" borderId="14" xfId="1" applyFont="1" applyFill="1" applyBorder="1"/>
    <xf numFmtId="41" fontId="1" fillId="20" borderId="2" xfId="1" applyFont="1" applyFill="1" applyBorder="1"/>
    <xf numFmtId="16" fontId="1" fillId="20" borderId="14" xfId="1" applyNumberFormat="1" applyFont="1" applyFill="1" applyBorder="1"/>
    <xf numFmtId="165" fontId="1" fillId="20" borderId="14" xfId="1" applyNumberFormat="1" applyFont="1" applyFill="1" applyBorder="1"/>
    <xf numFmtId="165" fontId="1" fillId="20" borderId="2" xfId="27" applyNumberFormat="1" applyFont="1" applyFill="1" applyBorder="1"/>
    <xf numFmtId="41" fontId="36" fillId="20" borderId="2" xfId="1" applyFont="1" applyFill="1" applyBorder="1"/>
    <xf numFmtId="41" fontId="1" fillId="20" borderId="0" xfId="1" applyFont="1" applyFill="1"/>
    <xf numFmtId="0" fontId="1" fillId="20" borderId="0" xfId="0" applyFont="1" applyFill="1"/>
    <xf numFmtId="0" fontId="1" fillId="20" borderId="2" xfId="0" applyFont="1" applyFill="1" applyBorder="1" applyAlignment="1">
      <alignment vertical="center"/>
    </xf>
    <xf numFmtId="41" fontId="28" fillId="20" borderId="2" xfId="1" applyFont="1" applyFill="1" applyBorder="1"/>
    <xf numFmtId="0" fontId="1" fillId="20" borderId="2" xfId="0" applyFont="1" applyFill="1" applyBorder="1"/>
    <xf numFmtId="41" fontId="1" fillId="20" borderId="2" xfId="0" applyNumberFormat="1" applyFont="1" applyFill="1" applyBorder="1"/>
    <xf numFmtId="16" fontId="1" fillId="20" borderId="14" xfId="0" applyNumberFormat="1" applyFont="1" applyFill="1" applyBorder="1"/>
    <xf numFmtId="0" fontId="33" fillId="20" borderId="2" xfId="0" applyFont="1" applyFill="1" applyBorder="1" applyAlignment="1">
      <alignment horizontal="left" vertical="center"/>
    </xf>
    <xf numFmtId="0" fontId="36" fillId="0" borderId="26" xfId="0" applyFont="1" applyFill="1" applyBorder="1" applyAlignment="1">
      <alignment horizontal="center" vertical="center"/>
    </xf>
    <xf numFmtId="0" fontId="36" fillId="0" borderId="23" xfId="0" applyFont="1" applyFill="1" applyBorder="1"/>
    <xf numFmtId="0" fontId="36" fillId="0" borderId="23" xfId="0" applyFont="1" applyFill="1" applyBorder="1" applyAlignment="1">
      <alignment horizontal="right"/>
    </xf>
    <xf numFmtId="0" fontId="36" fillId="0" borderId="27" xfId="0" applyFont="1" applyFill="1" applyBorder="1"/>
    <xf numFmtId="41" fontId="36" fillId="0" borderId="23" xfId="0" applyNumberFormat="1" applyFont="1" applyFill="1" applyBorder="1"/>
    <xf numFmtId="41" fontId="36" fillId="9" borderId="23" xfId="1" applyNumberFormat="1" applyFont="1" applyFill="1" applyBorder="1"/>
    <xf numFmtId="41" fontId="36" fillId="0" borderId="23" xfId="1" applyNumberFormat="1" applyFont="1" applyFill="1" applyBorder="1"/>
    <xf numFmtId="0" fontId="36" fillId="0" borderId="0" xfId="0" applyFont="1" applyFill="1"/>
    <xf numFmtId="0" fontId="1" fillId="4" borderId="2" xfId="0" applyFont="1" applyFill="1" applyBorder="1"/>
    <xf numFmtId="0" fontId="14" fillId="3" borderId="20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20" fillId="0" borderId="0" xfId="0" applyFont="1" applyAlignment="1" applyProtection="1">
      <alignment horizontal="center"/>
      <protection hidden="1"/>
    </xf>
    <xf numFmtId="41" fontId="25" fillId="0" borderId="0" xfId="1" applyFont="1" applyAlignment="1" applyProtection="1">
      <alignment horizontal="center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3" fillId="0" borderId="0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1" fillId="0" borderId="0" xfId="0" applyFont="1" applyBorder="1" applyAlignment="1" applyProtection="1">
      <alignment horizontal="center"/>
      <protection hidden="1"/>
    </xf>
    <xf numFmtId="49" fontId="8" fillId="0" borderId="0" xfId="0" applyNumberFormat="1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24" fillId="7" borderId="27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16" fontId="24" fillId="7" borderId="27" xfId="0" applyNumberFormat="1" applyFont="1" applyFill="1" applyBorder="1" applyAlignment="1">
      <alignment horizontal="center" vertical="center"/>
    </xf>
    <xf numFmtId="16" fontId="24" fillId="7" borderId="14" xfId="0" applyNumberFormat="1" applyFont="1" applyFill="1" applyBorder="1" applyAlignment="1">
      <alignment horizontal="center" vertical="center"/>
    </xf>
    <xf numFmtId="168" fontId="24" fillId="7" borderId="27" xfId="0" applyNumberFormat="1" applyFont="1" applyFill="1" applyBorder="1" applyAlignment="1">
      <alignment horizontal="center" vertical="center"/>
    </xf>
    <xf numFmtId="168" fontId="24" fillId="7" borderId="14" xfId="0" applyNumberFormat="1" applyFont="1" applyFill="1" applyBorder="1" applyAlignment="1">
      <alignment horizontal="center" vertical="center"/>
    </xf>
    <xf numFmtId="41" fontId="24" fillId="7" borderId="27" xfId="1" applyFont="1" applyFill="1" applyBorder="1" applyAlignment="1">
      <alignment horizontal="center" vertical="center"/>
    </xf>
    <xf numFmtId="41" fontId="24" fillId="7" borderId="14" xfId="1" applyFont="1" applyFill="1" applyBorder="1" applyAlignment="1">
      <alignment horizontal="center" vertical="center"/>
    </xf>
    <xf numFmtId="0" fontId="29" fillId="5" borderId="23" xfId="27" applyFont="1" applyFill="1" applyBorder="1" applyAlignment="1" applyProtection="1">
      <alignment horizontal="center" vertical="center"/>
      <protection locked="0"/>
    </xf>
    <xf numFmtId="41" fontId="29" fillId="5" borderId="27" xfId="1" applyFont="1" applyFill="1" applyBorder="1" applyAlignment="1" applyProtection="1">
      <alignment horizontal="center" vertical="center"/>
      <protection locked="0"/>
    </xf>
    <xf numFmtId="41" fontId="29" fillId="5" borderId="14" xfId="1" applyFont="1" applyFill="1" applyBorder="1" applyAlignment="1" applyProtection="1">
      <alignment horizontal="center" vertical="center"/>
      <protection locked="0"/>
    </xf>
    <xf numFmtId="42" fontId="29" fillId="10" borderId="23" xfId="27" applyNumberFormat="1" applyFont="1" applyFill="1" applyBorder="1" applyAlignment="1" applyProtection="1">
      <alignment horizontal="center" vertical="center"/>
      <protection locked="0"/>
    </xf>
    <xf numFmtId="41" fontId="29" fillId="10" borderId="23" xfId="1" applyFont="1" applyFill="1" applyBorder="1" applyAlignment="1" applyProtection="1">
      <alignment horizontal="center" vertical="center"/>
      <protection locked="0"/>
    </xf>
    <xf numFmtId="14" fontId="29" fillId="10" borderId="23" xfId="27" applyNumberFormat="1" applyFont="1" applyFill="1" applyBorder="1" applyAlignment="1" applyProtection="1">
      <alignment horizontal="center" vertical="center"/>
      <protection locked="0"/>
    </xf>
    <xf numFmtId="0" fontId="34" fillId="0" borderId="0" xfId="27" applyFont="1" applyFill="1" applyAlignment="1">
      <alignment horizontal="center"/>
    </xf>
    <xf numFmtId="0" fontId="29" fillId="10" borderId="18" xfId="27" applyFont="1" applyFill="1" applyBorder="1" applyAlignment="1" applyProtection="1">
      <alignment horizontal="center" vertical="center"/>
      <protection locked="0"/>
    </xf>
    <xf numFmtId="0" fontId="29" fillId="10" borderId="16" xfId="27" applyFont="1" applyFill="1" applyBorder="1" applyAlignment="1" applyProtection="1">
      <alignment horizontal="center" vertical="center"/>
      <protection locked="0"/>
    </xf>
    <xf numFmtId="0" fontId="29" fillId="10" borderId="14" xfId="27" applyFont="1" applyFill="1" applyBorder="1" applyAlignment="1" applyProtection="1">
      <alignment horizontal="center" vertical="center"/>
      <protection locked="0"/>
    </xf>
    <xf numFmtId="0" fontId="29" fillId="10" borderId="23" xfId="27" applyFont="1" applyFill="1" applyBorder="1" applyAlignment="1" applyProtection="1">
      <alignment horizontal="center" vertical="center"/>
      <protection locked="0"/>
    </xf>
    <xf numFmtId="41" fontId="29" fillId="10" borderId="27" xfId="1" applyFont="1" applyFill="1" applyBorder="1" applyAlignment="1" applyProtection="1">
      <alignment horizontal="center" vertical="center" wrapText="1"/>
      <protection locked="0"/>
    </xf>
    <xf numFmtId="41" fontId="29" fillId="10" borderId="16" xfId="1" applyFont="1" applyFill="1" applyBorder="1" applyAlignment="1" applyProtection="1">
      <alignment horizontal="center" vertical="center" wrapText="1"/>
      <protection locked="0"/>
    </xf>
    <xf numFmtId="41" fontId="29" fillId="10" borderId="14" xfId="1" applyFont="1" applyFill="1" applyBorder="1" applyAlignment="1" applyProtection="1">
      <alignment horizontal="center" vertical="center" wrapText="1"/>
      <protection locked="0"/>
    </xf>
    <xf numFmtId="41" fontId="29" fillId="10" borderId="27" xfId="1" applyFont="1" applyFill="1" applyBorder="1" applyAlignment="1" applyProtection="1">
      <alignment horizontal="center" vertical="center"/>
      <protection locked="0"/>
    </xf>
    <xf numFmtId="41" fontId="29" fillId="10" borderId="16" xfId="1" applyFont="1" applyFill="1" applyBorder="1" applyAlignment="1" applyProtection="1">
      <alignment horizontal="center" vertical="center"/>
      <protection locked="0"/>
    </xf>
    <xf numFmtId="41" fontId="29" fillId="10" borderId="14" xfId="1" applyFont="1" applyFill="1" applyBorder="1" applyAlignment="1" applyProtection="1">
      <alignment horizontal="center" vertical="center"/>
      <protection locked="0"/>
    </xf>
    <xf numFmtId="41" fontId="29" fillId="10" borderId="2" xfId="1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/>
      <protection hidden="1"/>
    </xf>
    <xf numFmtId="0" fontId="8" fillId="0" borderId="13" xfId="0" applyFont="1" applyFill="1" applyBorder="1" applyAlignment="1" applyProtection="1">
      <alignment horizontal="center" vertical="center"/>
      <protection hidden="1"/>
    </xf>
    <xf numFmtId="0" fontId="8" fillId="0" borderId="14" xfId="0" applyFont="1" applyFill="1" applyBorder="1" applyAlignment="1" applyProtection="1">
      <alignment horizontal="center" vertical="center"/>
      <protection hidden="1"/>
    </xf>
    <xf numFmtId="0" fontId="8" fillId="0" borderId="13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Fill="1" applyBorder="1" applyAlignment="1" applyProtection="1">
      <alignment horizontal="center" vertical="center" wrapText="1"/>
      <protection hidden="1"/>
    </xf>
    <xf numFmtId="0" fontId="8" fillId="0" borderId="18" xfId="0" applyFont="1" applyFill="1" applyBorder="1" applyAlignment="1" applyProtection="1">
      <alignment horizontal="center" vertical="center"/>
      <protection hidden="1"/>
    </xf>
  </cellXfs>
  <cellStyles count="30">
    <cellStyle name="Comma" xfId="29" builtinId="3"/>
    <cellStyle name="Comma [0]" xfId="1" builtinId="6"/>
    <cellStyle name="Normal" xfId="0" builtinId="0"/>
    <cellStyle name="Normal 2" xfId="28"/>
    <cellStyle name="Normal_Data Siswa" xfId="27"/>
    <cellStyle name="S0" xfId="2"/>
    <cellStyle name="S1" xfId="3"/>
    <cellStyle name="S10" xfId="4"/>
    <cellStyle name="S11" xfId="5"/>
    <cellStyle name="S12" xfId="6"/>
    <cellStyle name="S13" xfId="7"/>
    <cellStyle name="S14" xfId="8"/>
    <cellStyle name="S2" xfId="9"/>
    <cellStyle name="S2 2" xfId="10"/>
    <cellStyle name="S2 3" xfId="11"/>
    <cellStyle name="S3" xfId="12"/>
    <cellStyle name="S3 2" xfId="13"/>
    <cellStyle name="S3 3" xfId="14"/>
    <cellStyle name="S4" xfId="15"/>
    <cellStyle name="S4 2" xfId="16"/>
    <cellStyle name="S4 3" xfId="17"/>
    <cellStyle name="S5" xfId="18"/>
    <cellStyle name="S6" xfId="19"/>
    <cellStyle name="S7" xfId="20"/>
    <cellStyle name="S7 2" xfId="21"/>
    <cellStyle name="S7 3" xfId="22"/>
    <cellStyle name="S8" xfId="23"/>
    <cellStyle name="S9" xfId="24"/>
    <cellStyle name="S9 2" xfId="25"/>
    <cellStyle name="S9 3" xfId="26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theme="7" tint="0.5999938962981048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colors>
    <mruColors>
      <color rgb="FFFF33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6:M110" totalsRowShown="0" headerRowDxfId="17" dataDxfId="15" headerRowBorderDxfId="16" tableBorderDxfId="14" totalsRowBorderDxfId="13" headerRowCellStyle="Comma [0]" dataCellStyle="Comma [0]">
  <autoFilter ref="A6:M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NO" dataDxfId="12"/>
    <tableColumn id="3" name="NAMA" dataDxfId="11"/>
    <tableColumn id="4" name="TGL MASUK" dataDxfId="10"/>
    <tableColumn id="5" name="KELAS" dataDxfId="9"/>
    <tableColumn id="6" name="PENDAFT." dataDxfId="8">
      <calculatedColumnFormula>IFERROR(VLOOKUP(Table3[[#This Row],[KELAS]],Q:X,2,FALSE),"")</calculatedColumnFormula>
    </tableColumn>
    <tableColumn id="7" name="GEDUNG" dataDxfId="7">
      <calculatedColumnFormula>IFERROR(VLOOKUP(Table3[[#This Row],[KELAS]],Q:X,3,FALSE),"")</calculatedColumnFormula>
    </tableColumn>
    <tableColumn id="8" name="KEGIATAN" dataDxfId="6">
      <calculatedColumnFormula>IFERROR(VLOOKUP(Table3[[#This Row],[KELAS]],Q:X,4,FALSE),"")</calculatedColumnFormula>
    </tableColumn>
    <tableColumn id="9" name="SERAGAM" dataDxfId="5">
      <calculatedColumnFormula>IFERROR(VLOOKUP(Table3[[#This Row],[KELAS]],Q:X,5,FALSE),"")</calculatedColumnFormula>
    </tableColumn>
    <tableColumn id="10" name="ATK" dataDxfId="4">
      <calculatedColumnFormula>IFERROR(VLOOKUP(Table3[[#This Row],[KELAS]],Q:X,6,FALSE),"")</calculatedColumnFormula>
    </tableColumn>
    <tableColumn id="11" name="SPP*" dataDxfId="3" dataCellStyle="Comma [0]"/>
    <tableColumn id="12" name="TOTAL" dataDxfId="2" dataCellStyle="Comma [0]">
      <calculatedColumnFormula>SUM(Table3[[#This Row],[PENDAFT.]:[SPP*]])</calculatedColumnFormula>
    </tableColumn>
    <tableColumn id="13" name="DISKON*" dataDxfId="1" dataCellStyle="Comma [0]"/>
    <tableColumn id="14" name="BIAYA NET" dataDxfId="0" dataCellStyle="Comma [0]">
      <calculatedColumnFormula>Table3[[#This Row],[TOTAL]]-Table3[[#This Row],[DISKON*]]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opLeftCell="A40" workbookViewId="0">
      <selection activeCell="B15" sqref="B15"/>
    </sheetView>
  </sheetViews>
  <sheetFormatPr defaultColWidth="17.7109375" defaultRowHeight="15"/>
  <cols>
    <col min="1" max="1" width="6.140625" style="4" bestFit="1" customWidth="1"/>
    <col min="2" max="2" width="39" style="2" bestFit="1" customWidth="1"/>
    <col min="3" max="3" width="17.7109375" style="2" customWidth="1"/>
    <col min="4" max="4" width="38" style="101" bestFit="1" customWidth="1"/>
    <col min="5" max="5" width="38.42578125" style="101" bestFit="1" customWidth="1"/>
    <col min="6" max="6" width="6.42578125" style="2" bestFit="1" customWidth="1"/>
    <col min="7" max="7" width="11.85546875" style="4" customWidth="1"/>
    <col min="8" max="16384" width="17.7109375" style="2"/>
  </cols>
  <sheetData>
    <row r="1" spans="1:7">
      <c r="A1" s="102" t="s">
        <v>145</v>
      </c>
      <c r="B1" s="102" t="s">
        <v>61</v>
      </c>
      <c r="C1" s="102" t="s">
        <v>205</v>
      </c>
      <c r="D1" s="103" t="s">
        <v>62</v>
      </c>
      <c r="E1" s="103" t="s">
        <v>63</v>
      </c>
      <c r="F1" s="102" t="s">
        <v>64</v>
      </c>
      <c r="G1" s="102" t="s">
        <v>145</v>
      </c>
    </row>
    <row r="2" spans="1:7">
      <c r="A2" s="97">
        <v>101</v>
      </c>
      <c r="B2" s="98" t="s">
        <v>6</v>
      </c>
      <c r="C2" s="98" t="s">
        <v>65</v>
      </c>
      <c r="D2" s="104" t="s">
        <v>66</v>
      </c>
      <c r="E2" s="104" t="s">
        <v>6</v>
      </c>
      <c r="F2" s="98" t="s">
        <v>55</v>
      </c>
      <c r="G2" s="97">
        <f>A2</f>
        <v>101</v>
      </c>
    </row>
    <row r="3" spans="1:7">
      <c r="A3" s="97">
        <v>102</v>
      </c>
      <c r="B3" s="105" t="s">
        <v>7</v>
      </c>
      <c r="C3" s="98" t="s">
        <v>65</v>
      </c>
      <c r="D3" s="106" t="s">
        <v>67</v>
      </c>
      <c r="E3" s="106" t="s">
        <v>7</v>
      </c>
      <c r="F3" s="98" t="s">
        <v>55</v>
      </c>
      <c r="G3" s="97">
        <f t="shared" ref="G3:G54" si="0">A3</f>
        <v>102</v>
      </c>
    </row>
    <row r="4" spans="1:7">
      <c r="A4" s="97">
        <v>103</v>
      </c>
      <c r="B4" s="105" t="s">
        <v>68</v>
      </c>
      <c r="C4" s="98" t="s">
        <v>65</v>
      </c>
      <c r="D4" s="106" t="s">
        <v>69</v>
      </c>
      <c r="E4" s="106" t="s">
        <v>8</v>
      </c>
      <c r="F4" s="98" t="s">
        <v>55</v>
      </c>
      <c r="G4" s="97">
        <f t="shared" si="0"/>
        <v>103</v>
      </c>
    </row>
    <row r="5" spans="1:7">
      <c r="A5" s="97">
        <v>104</v>
      </c>
      <c r="B5" s="105" t="s">
        <v>71</v>
      </c>
      <c r="C5" s="98" t="s">
        <v>65</v>
      </c>
      <c r="D5" s="106" t="s">
        <v>70</v>
      </c>
      <c r="E5" s="106" t="s">
        <v>8</v>
      </c>
      <c r="F5" s="98" t="s">
        <v>55</v>
      </c>
      <c r="G5" s="97">
        <f t="shared" si="0"/>
        <v>104</v>
      </c>
    </row>
    <row r="6" spans="1:7">
      <c r="A6" s="97">
        <v>105</v>
      </c>
      <c r="B6" s="105" t="s">
        <v>9</v>
      </c>
      <c r="C6" s="98" t="s">
        <v>65</v>
      </c>
      <c r="D6" s="104"/>
      <c r="E6" s="106" t="s">
        <v>9</v>
      </c>
      <c r="F6" s="98" t="s">
        <v>55</v>
      </c>
      <c r="G6" s="97">
        <f t="shared" si="0"/>
        <v>105</v>
      </c>
    </row>
    <row r="7" spans="1:7">
      <c r="A7" s="97">
        <v>106</v>
      </c>
      <c r="B7" s="105" t="s">
        <v>72</v>
      </c>
      <c r="C7" s="98" t="s">
        <v>65</v>
      </c>
      <c r="D7" s="104"/>
      <c r="E7" s="106" t="s">
        <v>72</v>
      </c>
      <c r="F7" s="98" t="s">
        <v>55</v>
      </c>
      <c r="G7" s="97">
        <f t="shared" si="0"/>
        <v>106</v>
      </c>
    </row>
    <row r="8" spans="1:7">
      <c r="A8" s="97">
        <v>107</v>
      </c>
      <c r="B8" s="105" t="s">
        <v>14</v>
      </c>
      <c r="C8" s="105" t="s">
        <v>73</v>
      </c>
      <c r="D8" s="104"/>
      <c r="E8" s="106" t="s">
        <v>14</v>
      </c>
      <c r="F8" s="98" t="s">
        <v>55</v>
      </c>
      <c r="G8" s="97">
        <f t="shared" si="0"/>
        <v>107</v>
      </c>
    </row>
    <row r="9" spans="1:7">
      <c r="A9" s="97">
        <v>108</v>
      </c>
      <c r="B9" s="105" t="s">
        <v>16</v>
      </c>
      <c r="C9" s="105" t="s">
        <v>73</v>
      </c>
      <c r="D9" s="104"/>
      <c r="E9" s="106" t="s">
        <v>16</v>
      </c>
      <c r="F9" s="98" t="s">
        <v>55</v>
      </c>
      <c r="G9" s="97">
        <f t="shared" si="0"/>
        <v>108</v>
      </c>
    </row>
    <row r="10" spans="1:7">
      <c r="A10" s="97">
        <v>109</v>
      </c>
      <c r="B10" s="105" t="s">
        <v>74</v>
      </c>
      <c r="C10" s="105" t="s">
        <v>73</v>
      </c>
      <c r="D10" s="104"/>
      <c r="E10" s="106" t="s">
        <v>74</v>
      </c>
      <c r="F10" s="98" t="s">
        <v>55</v>
      </c>
      <c r="G10" s="97">
        <f t="shared" si="0"/>
        <v>109</v>
      </c>
    </row>
    <row r="11" spans="1:7">
      <c r="A11" s="97">
        <v>110</v>
      </c>
      <c r="B11" s="105" t="s">
        <v>18</v>
      </c>
      <c r="C11" s="105" t="s">
        <v>73</v>
      </c>
      <c r="D11" s="104"/>
      <c r="E11" s="106" t="s">
        <v>18</v>
      </c>
      <c r="F11" s="98" t="s">
        <v>55</v>
      </c>
      <c r="G11" s="97">
        <f t="shared" si="0"/>
        <v>110</v>
      </c>
    </row>
    <row r="12" spans="1:7">
      <c r="A12" s="97">
        <v>111</v>
      </c>
      <c r="B12" s="105" t="s">
        <v>75</v>
      </c>
      <c r="C12" s="1" t="s">
        <v>73</v>
      </c>
      <c r="D12" s="2"/>
      <c r="E12" s="1" t="s">
        <v>75</v>
      </c>
      <c r="F12" s="2" t="s">
        <v>55</v>
      </c>
      <c r="G12" s="97">
        <f t="shared" si="0"/>
        <v>111</v>
      </c>
    </row>
    <row r="13" spans="1:7">
      <c r="A13" s="97">
        <v>200</v>
      </c>
      <c r="B13" s="105" t="s">
        <v>162</v>
      </c>
      <c r="C13" s="105" t="s">
        <v>76</v>
      </c>
      <c r="D13" s="106" t="s">
        <v>162</v>
      </c>
      <c r="E13" s="106" t="s">
        <v>162</v>
      </c>
      <c r="F13" s="105" t="s">
        <v>56</v>
      </c>
      <c r="G13" s="97">
        <f t="shared" si="0"/>
        <v>200</v>
      </c>
    </row>
    <row r="14" spans="1:7">
      <c r="A14" s="97">
        <v>201</v>
      </c>
      <c r="B14" s="105" t="s">
        <v>165</v>
      </c>
      <c r="C14" s="105" t="s">
        <v>76</v>
      </c>
      <c r="D14" s="105" t="s">
        <v>165</v>
      </c>
      <c r="E14" s="105" t="s">
        <v>165</v>
      </c>
      <c r="F14" s="105" t="s">
        <v>56</v>
      </c>
      <c r="G14" s="97">
        <f t="shared" si="0"/>
        <v>201</v>
      </c>
    </row>
    <row r="15" spans="1:7">
      <c r="A15" s="97">
        <v>300</v>
      </c>
      <c r="B15" s="105" t="s">
        <v>77</v>
      </c>
      <c r="C15" s="105" t="s">
        <v>13</v>
      </c>
      <c r="D15" s="106" t="s">
        <v>17</v>
      </c>
      <c r="E15" s="106" t="s">
        <v>77</v>
      </c>
      <c r="F15" s="105" t="s">
        <v>56</v>
      </c>
      <c r="G15" s="97">
        <f t="shared" si="0"/>
        <v>300</v>
      </c>
    </row>
    <row r="16" spans="1:7">
      <c r="A16" s="97">
        <v>301</v>
      </c>
      <c r="B16" s="105" t="s">
        <v>15</v>
      </c>
      <c r="C16" s="105" t="s">
        <v>13</v>
      </c>
      <c r="D16" s="106" t="s">
        <v>15</v>
      </c>
      <c r="E16" s="106" t="s">
        <v>15</v>
      </c>
      <c r="F16" s="105" t="s">
        <v>56</v>
      </c>
      <c r="G16" s="97">
        <f t="shared" si="0"/>
        <v>301</v>
      </c>
    </row>
    <row r="17" spans="1:7">
      <c r="A17" s="97">
        <v>302</v>
      </c>
      <c r="B17" s="105" t="s">
        <v>78</v>
      </c>
      <c r="C17" s="105" t="s">
        <v>13</v>
      </c>
      <c r="D17" s="106" t="s">
        <v>78</v>
      </c>
      <c r="E17" s="106" t="s">
        <v>78</v>
      </c>
      <c r="F17" s="105" t="s">
        <v>56</v>
      </c>
      <c r="G17" s="97">
        <f t="shared" si="0"/>
        <v>302</v>
      </c>
    </row>
    <row r="18" spans="1:7">
      <c r="A18" s="97">
        <v>303</v>
      </c>
      <c r="B18" s="105" t="s">
        <v>79</v>
      </c>
      <c r="C18" s="105" t="s">
        <v>13</v>
      </c>
      <c r="D18" s="106" t="s">
        <v>79</v>
      </c>
      <c r="E18" s="106" t="s">
        <v>79</v>
      </c>
      <c r="F18" s="105" t="s">
        <v>56</v>
      </c>
      <c r="G18" s="97">
        <f t="shared" si="0"/>
        <v>303</v>
      </c>
    </row>
    <row r="19" spans="1:7">
      <c r="A19" s="97">
        <v>304</v>
      </c>
      <c r="B19" s="105" t="s">
        <v>19</v>
      </c>
      <c r="C19" s="105" t="s">
        <v>13</v>
      </c>
      <c r="D19" s="104"/>
      <c r="E19" s="106" t="s">
        <v>19</v>
      </c>
      <c r="F19" s="105" t="s">
        <v>56</v>
      </c>
      <c r="G19" s="97">
        <f t="shared" si="0"/>
        <v>304</v>
      </c>
    </row>
    <row r="20" spans="1:7">
      <c r="A20" s="97">
        <v>400</v>
      </c>
      <c r="B20" s="105" t="s">
        <v>80</v>
      </c>
      <c r="C20" s="105" t="s">
        <v>59</v>
      </c>
      <c r="D20" s="106" t="s">
        <v>80</v>
      </c>
      <c r="E20" s="106" t="s">
        <v>80</v>
      </c>
      <c r="F20" s="105" t="s">
        <v>56</v>
      </c>
      <c r="G20" s="97">
        <f t="shared" si="0"/>
        <v>400</v>
      </c>
    </row>
    <row r="21" spans="1:7">
      <c r="A21" s="97">
        <v>401</v>
      </c>
      <c r="B21" s="105" t="s">
        <v>157</v>
      </c>
      <c r="C21" s="105" t="s">
        <v>59</v>
      </c>
      <c r="D21" s="106" t="s">
        <v>157</v>
      </c>
      <c r="E21" s="106" t="s">
        <v>157</v>
      </c>
      <c r="F21" s="105" t="s">
        <v>56</v>
      </c>
      <c r="G21" s="97">
        <f t="shared" si="0"/>
        <v>401</v>
      </c>
    </row>
    <row r="22" spans="1:7">
      <c r="A22" s="97">
        <v>402</v>
      </c>
      <c r="B22" s="105" t="s">
        <v>158</v>
      </c>
      <c r="C22" s="105" t="s">
        <v>59</v>
      </c>
      <c r="D22" s="106" t="s">
        <v>158</v>
      </c>
      <c r="E22" s="106" t="s">
        <v>158</v>
      </c>
      <c r="F22" s="105" t="s">
        <v>56</v>
      </c>
      <c r="G22" s="97">
        <f t="shared" si="0"/>
        <v>402</v>
      </c>
    </row>
    <row r="23" spans="1:7">
      <c r="A23" s="97">
        <v>403</v>
      </c>
      <c r="B23" s="105" t="s">
        <v>159</v>
      </c>
      <c r="C23" s="105" t="s">
        <v>59</v>
      </c>
      <c r="D23" s="106" t="s">
        <v>159</v>
      </c>
      <c r="E23" s="106" t="s">
        <v>159</v>
      </c>
      <c r="F23" s="105" t="s">
        <v>56</v>
      </c>
      <c r="G23" s="97">
        <f t="shared" si="0"/>
        <v>403</v>
      </c>
    </row>
    <row r="24" spans="1:7">
      <c r="A24" s="97">
        <v>404</v>
      </c>
      <c r="B24" s="105" t="s">
        <v>160</v>
      </c>
      <c r="C24" s="105" t="s">
        <v>59</v>
      </c>
      <c r="D24" s="106" t="s">
        <v>160</v>
      </c>
      <c r="E24" s="106" t="s">
        <v>160</v>
      </c>
      <c r="F24" s="105" t="s">
        <v>56</v>
      </c>
      <c r="G24" s="97">
        <f t="shared" si="0"/>
        <v>404</v>
      </c>
    </row>
    <row r="25" spans="1:7">
      <c r="A25" s="97">
        <v>405</v>
      </c>
      <c r="B25" s="105" t="s">
        <v>161</v>
      </c>
      <c r="C25" s="105" t="s">
        <v>59</v>
      </c>
      <c r="D25" s="106" t="s">
        <v>161</v>
      </c>
      <c r="E25" s="106" t="s">
        <v>161</v>
      </c>
      <c r="F25" s="105" t="s">
        <v>56</v>
      </c>
      <c r="G25" s="97">
        <f t="shared" si="0"/>
        <v>405</v>
      </c>
    </row>
    <row r="26" spans="1:7">
      <c r="A26" s="97">
        <v>406</v>
      </c>
      <c r="B26" s="105" t="s">
        <v>81</v>
      </c>
      <c r="C26" s="105" t="s">
        <v>59</v>
      </c>
      <c r="D26" s="107" t="s">
        <v>81</v>
      </c>
      <c r="E26" s="107" t="s">
        <v>81</v>
      </c>
      <c r="F26" s="105" t="s">
        <v>56</v>
      </c>
      <c r="G26" s="97">
        <f t="shared" si="0"/>
        <v>406</v>
      </c>
    </row>
    <row r="27" spans="1:7">
      <c r="A27" s="97">
        <v>407</v>
      </c>
      <c r="B27" s="122" t="s">
        <v>174</v>
      </c>
      <c r="C27" s="105" t="s">
        <v>59</v>
      </c>
      <c r="D27" s="122" t="s">
        <v>174</v>
      </c>
      <c r="E27" s="122" t="s">
        <v>174</v>
      </c>
      <c r="F27" s="105" t="s">
        <v>56</v>
      </c>
      <c r="G27" s="97">
        <f t="shared" si="0"/>
        <v>407</v>
      </c>
    </row>
    <row r="28" spans="1:7">
      <c r="A28" s="97">
        <v>500</v>
      </c>
      <c r="B28" s="105" t="s">
        <v>167</v>
      </c>
      <c r="C28" s="105" t="s">
        <v>196</v>
      </c>
      <c r="D28" s="105" t="s">
        <v>167</v>
      </c>
      <c r="E28" s="105" t="s">
        <v>167</v>
      </c>
      <c r="F28" s="105" t="s">
        <v>55</v>
      </c>
      <c r="G28" s="97">
        <f t="shared" si="0"/>
        <v>500</v>
      </c>
    </row>
    <row r="29" spans="1:7">
      <c r="A29" s="97">
        <v>501</v>
      </c>
      <c r="B29" s="105" t="s">
        <v>184</v>
      </c>
      <c r="C29" s="105" t="s">
        <v>196</v>
      </c>
      <c r="D29" s="105" t="s">
        <v>184</v>
      </c>
      <c r="E29" s="105" t="s">
        <v>184</v>
      </c>
      <c r="F29" s="105" t="s">
        <v>55</v>
      </c>
      <c r="G29" s="97">
        <f t="shared" si="0"/>
        <v>501</v>
      </c>
    </row>
    <row r="30" spans="1:7">
      <c r="A30" s="97">
        <v>502</v>
      </c>
      <c r="B30" s="105" t="s">
        <v>181</v>
      </c>
      <c r="C30" s="105" t="s">
        <v>196</v>
      </c>
      <c r="D30" s="105" t="s">
        <v>181</v>
      </c>
      <c r="E30" s="105" t="s">
        <v>181</v>
      </c>
      <c r="F30" s="105" t="s">
        <v>55</v>
      </c>
      <c r="G30" s="97">
        <f t="shared" si="0"/>
        <v>502</v>
      </c>
    </row>
    <row r="31" spans="1:7">
      <c r="A31" s="97">
        <v>503</v>
      </c>
      <c r="B31" s="404" t="s">
        <v>223</v>
      </c>
      <c r="C31" s="105" t="s">
        <v>196</v>
      </c>
      <c r="D31" s="105" t="s">
        <v>168</v>
      </c>
      <c r="E31" s="105" t="s">
        <v>168</v>
      </c>
      <c r="F31" s="105" t="s">
        <v>55</v>
      </c>
      <c r="G31" s="97">
        <f t="shared" si="0"/>
        <v>503</v>
      </c>
    </row>
    <row r="32" spans="1:7">
      <c r="A32" s="97">
        <v>504</v>
      </c>
      <c r="B32" s="105" t="s">
        <v>189</v>
      </c>
      <c r="C32" s="105" t="s">
        <v>196</v>
      </c>
      <c r="D32" s="105" t="s">
        <v>189</v>
      </c>
      <c r="E32" s="105" t="s">
        <v>189</v>
      </c>
      <c r="F32" s="105" t="s">
        <v>55</v>
      </c>
      <c r="G32" s="97">
        <f t="shared" si="0"/>
        <v>504</v>
      </c>
    </row>
    <row r="33" spans="1:7">
      <c r="A33" s="97">
        <v>505</v>
      </c>
      <c r="B33" s="105" t="s">
        <v>182</v>
      </c>
      <c r="C33" s="105" t="s">
        <v>196</v>
      </c>
      <c r="D33" s="105" t="s">
        <v>182</v>
      </c>
      <c r="E33" s="105" t="s">
        <v>182</v>
      </c>
      <c r="F33" s="105" t="s">
        <v>55</v>
      </c>
      <c r="G33" s="97">
        <f t="shared" si="0"/>
        <v>505</v>
      </c>
    </row>
    <row r="34" spans="1:7">
      <c r="A34" s="97">
        <v>506</v>
      </c>
      <c r="B34" s="105" t="s">
        <v>82</v>
      </c>
      <c r="C34" s="105" t="s">
        <v>196</v>
      </c>
      <c r="D34" s="105" t="s">
        <v>82</v>
      </c>
      <c r="E34" s="105" t="s">
        <v>82</v>
      </c>
      <c r="F34" s="105" t="s">
        <v>55</v>
      </c>
      <c r="G34" s="97">
        <f t="shared" si="0"/>
        <v>506</v>
      </c>
    </row>
    <row r="35" spans="1:7">
      <c r="A35" s="97">
        <v>507</v>
      </c>
      <c r="B35" s="105" t="s">
        <v>183</v>
      </c>
      <c r="C35" s="105" t="s">
        <v>196</v>
      </c>
      <c r="D35" s="105" t="s">
        <v>183</v>
      </c>
      <c r="E35" s="105" t="s">
        <v>183</v>
      </c>
      <c r="F35" s="105" t="s">
        <v>55</v>
      </c>
      <c r="G35" s="97">
        <f t="shared" si="0"/>
        <v>507</v>
      </c>
    </row>
    <row r="36" spans="1:7">
      <c r="A36" s="97">
        <v>508</v>
      </c>
      <c r="B36" s="229" t="s">
        <v>206</v>
      </c>
      <c r="C36" s="105" t="s">
        <v>196</v>
      </c>
      <c r="D36" s="229" t="s">
        <v>206</v>
      </c>
      <c r="E36" s="229" t="s">
        <v>206</v>
      </c>
      <c r="F36" s="105" t="s">
        <v>55</v>
      </c>
      <c r="G36" s="97">
        <f t="shared" ref="G36" si="1">A36</f>
        <v>508</v>
      </c>
    </row>
    <row r="37" spans="1:7">
      <c r="A37" s="97">
        <v>509</v>
      </c>
      <c r="B37" s="105" t="s">
        <v>185</v>
      </c>
      <c r="C37" s="105" t="s">
        <v>197</v>
      </c>
      <c r="D37" s="105" t="s">
        <v>185</v>
      </c>
      <c r="E37" s="105" t="s">
        <v>185</v>
      </c>
      <c r="F37" s="105" t="s">
        <v>55</v>
      </c>
      <c r="G37" s="97">
        <f t="shared" si="0"/>
        <v>509</v>
      </c>
    </row>
    <row r="38" spans="1:7">
      <c r="A38" s="97">
        <v>510</v>
      </c>
      <c r="B38" s="105" t="s">
        <v>216</v>
      </c>
      <c r="C38" s="105" t="s">
        <v>198</v>
      </c>
      <c r="D38" s="105" t="s">
        <v>169</v>
      </c>
      <c r="E38" s="105" t="s">
        <v>169</v>
      </c>
      <c r="F38" s="105" t="s">
        <v>55</v>
      </c>
      <c r="G38" s="97">
        <f t="shared" si="0"/>
        <v>510</v>
      </c>
    </row>
    <row r="39" spans="1:7">
      <c r="A39" s="97">
        <v>511</v>
      </c>
      <c r="B39" s="105" t="s">
        <v>217</v>
      </c>
      <c r="C39" s="105" t="s">
        <v>198</v>
      </c>
      <c r="D39" s="105" t="s">
        <v>166</v>
      </c>
      <c r="E39" s="105" t="s">
        <v>166</v>
      </c>
      <c r="F39" s="105" t="s">
        <v>55</v>
      </c>
      <c r="G39" s="97">
        <f t="shared" si="0"/>
        <v>511</v>
      </c>
    </row>
    <row r="40" spans="1:7">
      <c r="A40" s="97">
        <v>512</v>
      </c>
      <c r="B40" s="105" t="s">
        <v>186</v>
      </c>
      <c r="C40" s="105" t="s">
        <v>198</v>
      </c>
      <c r="D40" s="105" t="s">
        <v>186</v>
      </c>
      <c r="E40" s="105" t="s">
        <v>186</v>
      </c>
      <c r="F40" s="105" t="s">
        <v>55</v>
      </c>
      <c r="G40" s="97">
        <f t="shared" si="0"/>
        <v>512</v>
      </c>
    </row>
    <row r="41" spans="1:7">
      <c r="A41" s="97">
        <v>513</v>
      </c>
      <c r="B41" s="105" t="s">
        <v>187</v>
      </c>
      <c r="C41" s="105" t="s">
        <v>198</v>
      </c>
      <c r="D41" s="105" t="s">
        <v>187</v>
      </c>
      <c r="E41" s="105" t="s">
        <v>187</v>
      </c>
      <c r="F41" s="105" t="s">
        <v>55</v>
      </c>
      <c r="G41" s="97">
        <f t="shared" si="0"/>
        <v>513</v>
      </c>
    </row>
    <row r="42" spans="1:7">
      <c r="A42" s="97">
        <v>514</v>
      </c>
      <c r="B42" s="105" t="s">
        <v>218</v>
      </c>
      <c r="C42" s="105" t="s">
        <v>198</v>
      </c>
      <c r="D42" s="105" t="s">
        <v>188</v>
      </c>
      <c r="E42" s="105" t="s">
        <v>188</v>
      </c>
      <c r="F42" s="105" t="s">
        <v>55</v>
      </c>
      <c r="G42" s="97">
        <f t="shared" si="0"/>
        <v>514</v>
      </c>
    </row>
    <row r="43" spans="1:7">
      <c r="A43" s="97">
        <v>515</v>
      </c>
      <c r="B43" s="105" t="s">
        <v>215</v>
      </c>
      <c r="C43" s="105" t="s">
        <v>198</v>
      </c>
      <c r="D43" s="105" t="s">
        <v>25</v>
      </c>
      <c r="E43" s="105" t="s">
        <v>25</v>
      </c>
      <c r="F43" s="105" t="s">
        <v>55</v>
      </c>
      <c r="G43" s="97">
        <f t="shared" si="0"/>
        <v>515</v>
      </c>
    </row>
    <row r="44" spans="1:7">
      <c r="A44" s="97">
        <v>516</v>
      </c>
      <c r="B44" s="105" t="s">
        <v>192</v>
      </c>
      <c r="C44" s="105" t="s">
        <v>222</v>
      </c>
      <c r="D44" s="105" t="s">
        <v>192</v>
      </c>
      <c r="E44" s="105" t="s">
        <v>192</v>
      </c>
      <c r="F44" s="105" t="s">
        <v>55</v>
      </c>
      <c r="G44" s="97">
        <f t="shared" si="0"/>
        <v>516</v>
      </c>
    </row>
    <row r="45" spans="1:7">
      <c r="A45" s="97">
        <v>517</v>
      </c>
      <c r="B45" s="105" t="s">
        <v>193</v>
      </c>
      <c r="C45" s="105" t="s">
        <v>198</v>
      </c>
      <c r="D45" s="105" t="s">
        <v>193</v>
      </c>
      <c r="E45" s="105" t="s">
        <v>193</v>
      </c>
      <c r="F45" s="105" t="s">
        <v>55</v>
      </c>
      <c r="G45" s="97">
        <f t="shared" si="0"/>
        <v>517</v>
      </c>
    </row>
    <row r="46" spans="1:7">
      <c r="A46" s="97">
        <v>518</v>
      </c>
      <c r="B46" s="290" t="s">
        <v>220</v>
      </c>
      <c r="C46" s="105" t="s">
        <v>198</v>
      </c>
      <c r="D46" s="229" t="s">
        <v>194</v>
      </c>
      <c r="E46" s="229" t="s">
        <v>194</v>
      </c>
      <c r="F46" s="105" t="s">
        <v>55</v>
      </c>
      <c r="G46" s="97">
        <f t="shared" ref="G46" si="2">A46</f>
        <v>518</v>
      </c>
    </row>
    <row r="47" spans="1:7">
      <c r="A47" s="97">
        <v>519</v>
      </c>
      <c r="B47" s="105" t="s">
        <v>195</v>
      </c>
      <c r="C47" s="105" t="s">
        <v>222</v>
      </c>
      <c r="D47" s="105" t="s">
        <v>195</v>
      </c>
      <c r="E47" s="105" t="s">
        <v>195</v>
      </c>
      <c r="F47" s="105" t="s">
        <v>55</v>
      </c>
      <c r="G47" s="97">
        <f t="shared" si="0"/>
        <v>519</v>
      </c>
    </row>
    <row r="48" spans="1:7">
      <c r="A48" s="97">
        <v>520</v>
      </c>
      <c r="B48" s="229" t="s">
        <v>219</v>
      </c>
      <c r="C48" s="229" t="s">
        <v>199</v>
      </c>
      <c r="D48" s="229" t="s">
        <v>190</v>
      </c>
      <c r="E48" s="229" t="s">
        <v>190</v>
      </c>
      <c r="F48" s="105" t="s">
        <v>55</v>
      </c>
      <c r="G48" s="97">
        <f t="shared" si="0"/>
        <v>520</v>
      </c>
    </row>
    <row r="49" spans="1:7">
      <c r="A49" s="97">
        <v>521</v>
      </c>
      <c r="B49" s="229" t="s">
        <v>191</v>
      </c>
      <c r="C49" s="229" t="s">
        <v>200</v>
      </c>
      <c r="D49" s="229" t="s">
        <v>191</v>
      </c>
      <c r="E49" s="229" t="s">
        <v>191</v>
      </c>
      <c r="F49" s="105" t="s">
        <v>55</v>
      </c>
      <c r="G49" s="97">
        <f t="shared" si="0"/>
        <v>521</v>
      </c>
    </row>
    <row r="50" spans="1:7">
      <c r="A50" s="97">
        <v>522</v>
      </c>
      <c r="B50" s="229" t="s">
        <v>221</v>
      </c>
      <c r="C50" s="105" t="s">
        <v>222</v>
      </c>
      <c r="D50" s="229" t="s">
        <v>222</v>
      </c>
      <c r="E50" s="229" t="s">
        <v>222</v>
      </c>
      <c r="F50" s="105" t="s">
        <v>55</v>
      </c>
      <c r="G50" s="97">
        <f t="shared" si="0"/>
        <v>522</v>
      </c>
    </row>
    <row r="51" spans="1:7">
      <c r="A51" s="97"/>
      <c r="B51" s="105"/>
      <c r="C51" s="105"/>
      <c r="D51" s="104"/>
      <c r="E51" s="106"/>
      <c r="F51" s="105"/>
      <c r="G51" s="97"/>
    </row>
    <row r="52" spans="1:7" s="108" customFormat="1">
      <c r="A52" s="109" t="s">
        <v>58</v>
      </c>
      <c r="B52" s="110"/>
      <c r="C52" s="110"/>
      <c r="D52" s="111"/>
      <c r="E52" s="111"/>
      <c r="F52" s="112"/>
      <c r="G52" s="97" t="str">
        <f t="shared" si="0"/>
        <v>TOTAL</v>
      </c>
    </row>
    <row r="53" spans="1:7" s="108" customFormat="1">
      <c r="A53" s="109" t="s">
        <v>163</v>
      </c>
      <c r="B53" s="110"/>
      <c r="C53" s="110"/>
      <c r="D53" s="111"/>
      <c r="E53" s="111"/>
      <c r="F53" s="112"/>
      <c r="G53" s="97" t="str">
        <f t="shared" si="0"/>
        <v>CASHFLOW</v>
      </c>
    </row>
    <row r="54" spans="1:7" s="108" customFormat="1">
      <c r="A54" s="109" t="s">
        <v>86</v>
      </c>
      <c r="B54" s="110"/>
      <c r="C54" s="110"/>
      <c r="D54" s="111"/>
      <c r="E54" s="111"/>
      <c r="F54" s="112"/>
      <c r="G54" s="97" t="str">
        <f t="shared" si="0"/>
        <v>SELISIH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D17" sqref="D16:D17"/>
    </sheetView>
  </sheetViews>
  <sheetFormatPr defaultRowHeight="15"/>
  <cols>
    <col min="1" max="1" width="9.140625" style="3"/>
    <col min="2" max="3" width="15" style="3" bestFit="1" customWidth="1"/>
    <col min="4" max="4" width="11.5703125" style="3" bestFit="1" customWidth="1"/>
    <col min="5" max="5" width="9.140625" style="3"/>
    <col min="6" max="6" width="11.5703125" style="3" bestFit="1" customWidth="1"/>
    <col min="7" max="7" width="15.7109375" style="5" bestFit="1" customWidth="1"/>
    <col min="8" max="16384" width="9.140625" style="3"/>
  </cols>
  <sheetData>
    <row r="1" spans="1:7">
      <c r="A1" s="10"/>
      <c r="B1" s="10"/>
      <c r="C1" s="10"/>
      <c r="D1" s="10"/>
      <c r="E1" s="10"/>
      <c r="F1" s="10"/>
      <c r="G1" s="10"/>
    </row>
    <row r="2" spans="1:7">
      <c r="A2" s="11"/>
      <c r="B2" s="11"/>
      <c r="C2" s="11"/>
      <c r="D2" s="11"/>
      <c r="E2" s="11"/>
      <c r="F2" s="11"/>
      <c r="G2" s="11"/>
    </row>
    <row r="3" spans="1:7" s="13" customFormat="1">
      <c r="A3" s="12"/>
      <c r="B3" s="12"/>
      <c r="C3" s="12"/>
      <c r="D3" s="12"/>
      <c r="E3" s="12"/>
      <c r="F3" s="12"/>
      <c r="G3" s="12"/>
    </row>
    <row r="4" spans="1:7">
      <c r="A4" s="5"/>
      <c r="B4" s="6"/>
      <c r="C4" s="7"/>
      <c r="D4" s="8"/>
      <c r="E4" s="9"/>
      <c r="F4" s="8"/>
      <c r="G4" s="9"/>
    </row>
    <row r="5" spans="1:7">
      <c r="A5" s="5"/>
      <c r="B5" s="6"/>
      <c r="C5" s="7"/>
      <c r="D5" s="8"/>
      <c r="E5" s="9"/>
      <c r="F5" s="8"/>
      <c r="G5" s="9"/>
    </row>
    <row r="6" spans="1:7">
      <c r="A6" s="5"/>
      <c r="B6" s="6"/>
      <c r="C6" s="7"/>
      <c r="D6" s="8"/>
      <c r="E6" s="9"/>
      <c r="F6" s="8"/>
      <c r="G6" s="9"/>
    </row>
    <row r="7" spans="1:7">
      <c r="A7" s="5"/>
      <c r="B7" s="6"/>
      <c r="C7" s="7"/>
      <c r="D7" s="8"/>
      <c r="E7" s="9"/>
      <c r="F7" s="8"/>
      <c r="G7" s="9"/>
    </row>
    <row r="8" spans="1:7">
      <c r="A8" s="5"/>
      <c r="B8" s="6"/>
      <c r="C8" s="7"/>
      <c r="D8" s="8"/>
      <c r="E8" s="9"/>
      <c r="F8" s="8"/>
      <c r="G8" s="9"/>
    </row>
    <row r="9" spans="1:7">
      <c r="A9" s="5"/>
      <c r="B9" s="6"/>
      <c r="C9" s="7"/>
      <c r="D9" s="8"/>
      <c r="E9" s="9"/>
      <c r="F9" s="8"/>
      <c r="G9" s="9"/>
    </row>
    <row r="10" spans="1:7">
      <c r="A10" s="5"/>
      <c r="B10" s="6"/>
      <c r="C10" s="7"/>
      <c r="D10" s="8"/>
      <c r="E10" s="9"/>
      <c r="F10" s="8"/>
      <c r="G10" s="9"/>
    </row>
    <row r="11" spans="1:7">
      <c r="A11" s="5"/>
      <c r="B11" s="14"/>
      <c r="C11" s="7"/>
      <c r="D11" s="8"/>
      <c r="E11" s="15"/>
      <c r="F11" s="8"/>
      <c r="G11" s="9"/>
    </row>
    <row r="12" spans="1:7">
      <c r="A12" s="5"/>
      <c r="B12" s="5"/>
      <c r="C12" s="5"/>
      <c r="D12" s="8"/>
      <c r="E12" s="9"/>
      <c r="F12" s="8"/>
      <c r="G12" s="9"/>
    </row>
    <row r="13" spans="1:7">
      <c r="A13" s="5"/>
      <c r="B13" s="6"/>
      <c r="C13" s="7"/>
      <c r="D13" s="8"/>
      <c r="E13" s="9"/>
      <c r="F13" s="8"/>
      <c r="G13" s="9"/>
    </row>
    <row r="14" spans="1:7">
      <c r="A14" s="5"/>
      <c r="B14" s="6"/>
      <c r="C14" s="5"/>
      <c r="D14" s="8"/>
      <c r="E14" s="9"/>
      <c r="F14" s="8"/>
      <c r="G1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2" topLeftCell="F26" activePane="bottomRight" state="frozen"/>
      <selection activeCell="A46" sqref="A46"/>
      <selection pane="topRight" activeCell="A46" sqref="A46"/>
      <selection pane="bottomLeft" activeCell="A46" sqref="A46"/>
      <selection pane="bottomRight" activeCell="N45" sqref="N45"/>
    </sheetView>
  </sheetViews>
  <sheetFormatPr defaultColWidth="17.7109375" defaultRowHeight="15"/>
  <cols>
    <col min="1" max="1" width="6.140625" style="4" bestFit="1" customWidth="1"/>
    <col min="2" max="2" width="39.28515625" style="2" bestFit="1" customWidth="1"/>
    <col min="3" max="3" width="15.7109375" style="2" customWidth="1"/>
    <col min="4" max="5" width="15.7109375" style="101" customWidth="1"/>
    <col min="6" max="10" width="15.7109375" style="2" customWidth="1"/>
    <col min="11" max="11" width="15.7109375" style="4" customWidth="1"/>
    <col min="12" max="12" width="15.7109375" style="2" customWidth="1"/>
    <col min="13" max="16384" width="17.7109375" style="2"/>
  </cols>
  <sheetData>
    <row r="1" spans="1:12" s="126" customFormat="1">
      <c r="A1" s="407" t="s">
        <v>145</v>
      </c>
      <c r="B1" s="407" t="s">
        <v>61</v>
      </c>
      <c r="C1" s="405" t="s">
        <v>171</v>
      </c>
      <c r="D1" s="406"/>
      <c r="E1" s="405" t="s">
        <v>172</v>
      </c>
      <c r="F1" s="406"/>
      <c r="G1" s="405" t="s">
        <v>173</v>
      </c>
      <c r="H1" s="406"/>
      <c r="I1" s="405" t="s">
        <v>26</v>
      </c>
      <c r="J1" s="406"/>
      <c r="K1" s="125" t="s">
        <v>3</v>
      </c>
      <c r="L1" s="125"/>
    </row>
    <row r="2" spans="1:12" s="126" customFormat="1">
      <c r="A2" s="408"/>
      <c r="B2" s="408"/>
      <c r="C2" s="125" t="s">
        <v>1</v>
      </c>
      <c r="D2" s="125" t="s">
        <v>2</v>
      </c>
      <c r="E2" s="125" t="s">
        <v>1</v>
      </c>
      <c r="F2" s="125" t="s">
        <v>2</v>
      </c>
      <c r="G2" s="125" t="s">
        <v>1</v>
      </c>
      <c r="H2" s="125" t="s">
        <v>2</v>
      </c>
      <c r="I2" s="125" t="s">
        <v>1</v>
      </c>
      <c r="J2" s="125" t="s">
        <v>2</v>
      </c>
      <c r="K2" s="125" t="s">
        <v>1</v>
      </c>
      <c r="L2" s="125" t="s">
        <v>2</v>
      </c>
    </row>
    <row r="3" spans="1:12">
      <c r="A3" s="97">
        <f>Akun!A2</f>
        <v>101</v>
      </c>
      <c r="B3" s="98" t="str">
        <f>Akun!B2</f>
        <v>Kas</v>
      </c>
      <c r="C3" s="132">
        <f>SUM(Cashflow!E:E)-SUM(Cashflow!F:F)</f>
        <v>0</v>
      </c>
      <c r="D3" s="133"/>
      <c r="E3" s="133"/>
      <c r="F3" s="132"/>
      <c r="G3" s="134">
        <f>C3-E3</f>
        <v>0</v>
      </c>
      <c r="H3" s="134">
        <f>D3-F3</f>
        <v>0</v>
      </c>
      <c r="I3" s="132">
        <f>IF(A3&gt;=400,G3,0)</f>
        <v>0</v>
      </c>
      <c r="J3" s="132">
        <f>IF(A3&gt;=400,H3,0)</f>
        <v>0</v>
      </c>
      <c r="K3" s="135">
        <f>IF(A3&lt;400,G3,0)</f>
        <v>0</v>
      </c>
      <c r="L3" s="132">
        <f>IF(A3&lt;400,H3,0)</f>
        <v>0</v>
      </c>
    </row>
    <row r="4" spans="1:12">
      <c r="A4" s="97">
        <f>Akun!A3</f>
        <v>102</v>
      </c>
      <c r="B4" s="98" t="str">
        <f>Akun!B3</f>
        <v>Bank</v>
      </c>
      <c r="C4" s="132">
        <f>SUMIF(Cashflow!D:D,Rekap!A4,Cashflow!F:F)-SUMIF(Cashflow!D:D,Rekap!A4,Cashflow!E:E)</f>
        <v>0</v>
      </c>
      <c r="D4" s="136"/>
      <c r="E4" s="136"/>
      <c r="F4" s="132"/>
      <c r="G4" s="134">
        <f t="shared" ref="G4:G46" si="0">C4-E4</f>
        <v>0</v>
      </c>
      <c r="H4" s="134">
        <f t="shared" ref="H4:H46" si="1">D4-F4</f>
        <v>0</v>
      </c>
      <c r="I4" s="132">
        <f t="shared" ref="I4:I46" si="2">IF(A4&gt;=400,G4,0)</f>
        <v>0</v>
      </c>
      <c r="J4" s="132">
        <f t="shared" ref="J4:J46" si="3">IF(A4&gt;=400,H4,0)</f>
        <v>0</v>
      </c>
      <c r="K4" s="135">
        <f t="shared" ref="K4:K46" si="4">IF(A4&lt;400,G4,0)</f>
        <v>0</v>
      </c>
      <c r="L4" s="132">
        <f t="shared" ref="L4:L46" si="5">IF(A4&lt;400,H4,0)</f>
        <v>0</v>
      </c>
    </row>
    <row r="5" spans="1:12">
      <c r="A5" s="97">
        <f>Akun!A4</f>
        <v>103</v>
      </c>
      <c r="B5" s="123" t="str">
        <f>Akun!B4</f>
        <v>Piutang Siswa</v>
      </c>
      <c r="C5" s="134">
        <f>'Data Siswa'!AC100</f>
        <v>0</v>
      </c>
      <c r="D5" s="139"/>
      <c r="E5" s="139"/>
      <c r="F5" s="134"/>
      <c r="G5" s="134">
        <f t="shared" si="0"/>
        <v>0</v>
      </c>
      <c r="H5" s="134">
        <f t="shared" si="1"/>
        <v>0</v>
      </c>
      <c r="I5" s="134">
        <f t="shared" si="2"/>
        <v>0</v>
      </c>
      <c r="J5" s="134">
        <f t="shared" si="3"/>
        <v>0</v>
      </c>
      <c r="K5" s="135">
        <f t="shared" si="4"/>
        <v>0</v>
      </c>
      <c r="L5" s="132">
        <f t="shared" si="5"/>
        <v>0</v>
      </c>
    </row>
    <row r="6" spans="1:12">
      <c r="A6" s="97">
        <f>Akun!A5</f>
        <v>104</v>
      </c>
      <c r="B6" s="123" t="str">
        <f>Akun!B5</f>
        <v>Piutang Lain-Lain</v>
      </c>
      <c r="C6" s="134">
        <f>SUMIF(Cashflow!D:D,Rekap!A6,Cashflow!F:F)-SUMIF(Cashflow!D:D,Rekap!A6,Cashflow!E:E)</f>
        <v>0</v>
      </c>
      <c r="D6" s="139"/>
      <c r="E6" s="139"/>
      <c r="F6" s="134"/>
      <c r="G6" s="134">
        <f t="shared" si="0"/>
        <v>0</v>
      </c>
      <c r="H6" s="134">
        <f t="shared" si="1"/>
        <v>0</v>
      </c>
      <c r="I6" s="134">
        <f t="shared" si="2"/>
        <v>0</v>
      </c>
      <c r="J6" s="134">
        <f t="shared" si="3"/>
        <v>0</v>
      </c>
      <c r="K6" s="135">
        <f t="shared" si="4"/>
        <v>0</v>
      </c>
      <c r="L6" s="132">
        <f t="shared" si="5"/>
        <v>0</v>
      </c>
    </row>
    <row r="7" spans="1:12">
      <c r="A7" s="97">
        <f>Akun!A6</f>
        <v>105</v>
      </c>
      <c r="B7" s="123" t="str">
        <f>Akun!B6</f>
        <v>Piutang Periode Sebelumnya</v>
      </c>
      <c r="C7" s="134"/>
      <c r="D7" s="140"/>
      <c r="E7" s="139"/>
      <c r="F7" s="134"/>
      <c r="G7" s="134">
        <f t="shared" si="0"/>
        <v>0</v>
      </c>
      <c r="H7" s="134">
        <f t="shared" si="1"/>
        <v>0</v>
      </c>
      <c r="I7" s="134">
        <f t="shared" si="2"/>
        <v>0</v>
      </c>
      <c r="J7" s="134">
        <f t="shared" si="3"/>
        <v>0</v>
      </c>
      <c r="K7" s="135">
        <f t="shared" si="4"/>
        <v>0</v>
      </c>
      <c r="L7" s="132">
        <f t="shared" si="5"/>
        <v>0</v>
      </c>
    </row>
    <row r="8" spans="1:12">
      <c r="A8" s="97">
        <f>Akun!A7</f>
        <v>106</v>
      </c>
      <c r="B8" s="123" t="str">
        <f>Akun!B7</f>
        <v>Biaya Dibayar Dimuka</v>
      </c>
      <c r="C8" s="134"/>
      <c r="D8" s="140"/>
      <c r="E8" s="139"/>
      <c r="F8" s="134"/>
      <c r="G8" s="134">
        <f t="shared" si="0"/>
        <v>0</v>
      </c>
      <c r="H8" s="134">
        <f t="shared" si="1"/>
        <v>0</v>
      </c>
      <c r="I8" s="134">
        <f t="shared" si="2"/>
        <v>0</v>
      </c>
      <c r="J8" s="134">
        <f t="shared" si="3"/>
        <v>0</v>
      </c>
      <c r="K8" s="135">
        <f t="shared" si="4"/>
        <v>0</v>
      </c>
      <c r="L8" s="132">
        <f t="shared" si="5"/>
        <v>0</v>
      </c>
    </row>
    <row r="9" spans="1:12">
      <c r="A9" s="97">
        <f>Akun!A8</f>
        <v>107</v>
      </c>
      <c r="B9" s="123" t="str">
        <f>Akun!B8</f>
        <v>Tanah</v>
      </c>
      <c r="C9" s="138"/>
      <c r="D9" s="140"/>
      <c r="E9" s="139"/>
      <c r="F9" s="134"/>
      <c r="G9" s="134">
        <f t="shared" si="0"/>
        <v>0</v>
      </c>
      <c r="H9" s="134">
        <f t="shared" si="1"/>
        <v>0</v>
      </c>
      <c r="I9" s="134">
        <f t="shared" si="2"/>
        <v>0</v>
      </c>
      <c r="J9" s="134">
        <f t="shared" si="3"/>
        <v>0</v>
      </c>
      <c r="K9" s="135">
        <f t="shared" si="4"/>
        <v>0</v>
      </c>
      <c r="L9" s="132">
        <f t="shared" si="5"/>
        <v>0</v>
      </c>
    </row>
    <row r="10" spans="1:12">
      <c r="A10" s="97">
        <f>Akun!A9</f>
        <v>108</v>
      </c>
      <c r="B10" s="123" t="str">
        <f>Akun!B9</f>
        <v>Gedung</v>
      </c>
      <c r="C10" s="138"/>
      <c r="D10" s="140"/>
      <c r="E10" s="139"/>
      <c r="F10" s="134"/>
      <c r="G10" s="134">
        <f t="shared" si="0"/>
        <v>0</v>
      </c>
      <c r="H10" s="134">
        <f t="shared" si="1"/>
        <v>0</v>
      </c>
      <c r="I10" s="134">
        <f t="shared" si="2"/>
        <v>0</v>
      </c>
      <c r="J10" s="134">
        <f t="shared" si="3"/>
        <v>0</v>
      </c>
      <c r="K10" s="135">
        <f t="shared" si="4"/>
        <v>0</v>
      </c>
      <c r="L10" s="132">
        <f t="shared" si="5"/>
        <v>0</v>
      </c>
    </row>
    <row r="11" spans="1:12">
      <c r="A11" s="97">
        <f>Akun!A10</f>
        <v>109</v>
      </c>
      <c r="B11" s="123" t="str">
        <f>Akun!B10</f>
        <v>Kendaraan</v>
      </c>
      <c r="C11" s="138"/>
      <c r="D11" s="140"/>
      <c r="E11" s="139"/>
      <c r="F11" s="134"/>
      <c r="G11" s="134">
        <f t="shared" si="0"/>
        <v>0</v>
      </c>
      <c r="H11" s="134">
        <f t="shared" si="1"/>
        <v>0</v>
      </c>
      <c r="I11" s="134">
        <f t="shared" si="2"/>
        <v>0</v>
      </c>
      <c r="J11" s="134">
        <f t="shared" si="3"/>
        <v>0</v>
      </c>
      <c r="K11" s="135">
        <f t="shared" si="4"/>
        <v>0</v>
      </c>
      <c r="L11" s="132">
        <f t="shared" si="5"/>
        <v>0</v>
      </c>
    </row>
    <row r="12" spans="1:12">
      <c r="A12" s="97">
        <f>Akun!A11</f>
        <v>110</v>
      </c>
      <c r="B12" s="123" t="str">
        <f>Akun!B11</f>
        <v>Peralatan Kantor</v>
      </c>
      <c r="C12" s="138"/>
      <c r="D12" s="140"/>
      <c r="E12" s="139"/>
      <c r="F12" s="134"/>
      <c r="G12" s="134">
        <f t="shared" si="0"/>
        <v>0</v>
      </c>
      <c r="H12" s="134">
        <f t="shared" si="1"/>
        <v>0</v>
      </c>
      <c r="I12" s="134">
        <f t="shared" si="2"/>
        <v>0</v>
      </c>
      <c r="J12" s="134">
        <f t="shared" si="3"/>
        <v>0</v>
      </c>
      <c r="K12" s="135">
        <f t="shared" si="4"/>
        <v>0</v>
      </c>
      <c r="L12" s="132">
        <f t="shared" si="5"/>
        <v>0</v>
      </c>
    </row>
    <row r="13" spans="1:12">
      <c r="A13" s="97">
        <f>Akun!A12</f>
        <v>111</v>
      </c>
      <c r="B13" s="123" t="str">
        <f>Akun!B12</f>
        <v>Akumulasi Penyusutan Aktifa Tetap</v>
      </c>
      <c r="C13" s="138"/>
      <c r="D13" s="138"/>
      <c r="E13" s="138"/>
      <c r="F13" s="134"/>
      <c r="G13" s="134">
        <f t="shared" si="0"/>
        <v>0</v>
      </c>
      <c r="H13" s="134">
        <f t="shared" si="1"/>
        <v>0</v>
      </c>
      <c r="I13" s="134">
        <f t="shared" si="2"/>
        <v>0</v>
      </c>
      <c r="J13" s="134">
        <f t="shared" si="3"/>
        <v>0</v>
      </c>
      <c r="K13" s="135">
        <f t="shared" si="4"/>
        <v>0</v>
      </c>
      <c r="L13" s="132">
        <f t="shared" si="5"/>
        <v>0</v>
      </c>
    </row>
    <row r="14" spans="1:12">
      <c r="A14" s="97">
        <f>Akun!A13</f>
        <v>200</v>
      </c>
      <c r="B14" s="123" t="str">
        <f>Akun!B13</f>
        <v>Hutang Usaha</v>
      </c>
      <c r="C14" s="138"/>
      <c r="D14" s="138">
        <f>SUMIF(Cashflow!D:D,A14,Cashflow!E:E)</f>
        <v>0</v>
      </c>
      <c r="E14" s="139"/>
      <c r="F14" s="138"/>
      <c r="G14" s="134">
        <f t="shared" si="0"/>
        <v>0</v>
      </c>
      <c r="H14" s="134">
        <f t="shared" si="1"/>
        <v>0</v>
      </c>
      <c r="I14" s="134">
        <f t="shared" si="2"/>
        <v>0</v>
      </c>
      <c r="J14" s="134">
        <f t="shared" si="3"/>
        <v>0</v>
      </c>
      <c r="K14" s="135">
        <f t="shared" si="4"/>
        <v>0</v>
      </c>
      <c r="L14" s="132">
        <f t="shared" si="5"/>
        <v>0</v>
      </c>
    </row>
    <row r="15" spans="1:12">
      <c r="A15" s="97">
        <f>Akun!A14</f>
        <v>201</v>
      </c>
      <c r="B15" s="123" t="str">
        <f>Akun!B14</f>
        <v>Hutang Lancar</v>
      </c>
      <c r="C15" s="138"/>
      <c r="D15" s="138">
        <f>SUMIF(Cashflow!D:D,A15,Cashflow!E:E)</f>
        <v>0</v>
      </c>
      <c r="E15" s="138"/>
      <c r="F15" s="138"/>
      <c r="G15" s="134">
        <f t="shared" si="0"/>
        <v>0</v>
      </c>
      <c r="H15" s="134">
        <f t="shared" si="1"/>
        <v>0</v>
      </c>
      <c r="I15" s="134">
        <f t="shared" si="2"/>
        <v>0</v>
      </c>
      <c r="J15" s="134">
        <f t="shared" si="3"/>
        <v>0</v>
      </c>
      <c r="K15" s="135">
        <f t="shared" si="4"/>
        <v>0</v>
      </c>
      <c r="L15" s="132">
        <f t="shared" si="5"/>
        <v>0</v>
      </c>
    </row>
    <row r="16" spans="1:12">
      <c r="A16" s="97">
        <f>Akun!A15</f>
        <v>300</v>
      </c>
      <c r="B16" s="123" t="str">
        <f>Akun!B15</f>
        <v>Setoran Modal Pemilik</v>
      </c>
      <c r="C16" s="138"/>
      <c r="D16" s="138">
        <f>SUMIF(Cashflow!D:D,A16,Cashflow!E:E)</f>
        <v>0</v>
      </c>
      <c r="E16" s="139"/>
      <c r="F16" s="138"/>
      <c r="G16" s="134">
        <f t="shared" si="0"/>
        <v>0</v>
      </c>
      <c r="H16" s="134">
        <f t="shared" si="1"/>
        <v>0</v>
      </c>
      <c r="I16" s="134">
        <f t="shared" si="2"/>
        <v>0</v>
      </c>
      <c r="J16" s="134">
        <f t="shared" si="3"/>
        <v>0</v>
      </c>
      <c r="K16" s="135">
        <f t="shared" si="4"/>
        <v>0</v>
      </c>
      <c r="L16" s="132">
        <f t="shared" si="5"/>
        <v>0</v>
      </c>
    </row>
    <row r="17" spans="1:12">
      <c r="A17" s="97">
        <f>Akun!A16</f>
        <v>301</v>
      </c>
      <c r="B17" s="123" t="str">
        <f>Akun!B16</f>
        <v>Modal Awal</v>
      </c>
      <c r="C17" s="138"/>
      <c r="D17" s="138">
        <f>SUMIF(Cashflow!D:D,A17,Cashflow!E:E)</f>
        <v>0</v>
      </c>
      <c r="E17" s="139"/>
      <c r="F17" s="138"/>
      <c r="G17" s="134">
        <f t="shared" si="0"/>
        <v>0</v>
      </c>
      <c r="H17" s="134">
        <f t="shared" si="1"/>
        <v>0</v>
      </c>
      <c r="I17" s="134">
        <f t="shared" si="2"/>
        <v>0</v>
      </c>
      <c r="J17" s="134">
        <f t="shared" si="3"/>
        <v>0</v>
      </c>
      <c r="K17" s="135">
        <f t="shared" si="4"/>
        <v>0</v>
      </c>
      <c r="L17" s="132">
        <f t="shared" si="5"/>
        <v>0</v>
      </c>
    </row>
    <row r="18" spans="1:12">
      <c r="A18" s="97">
        <f>Akun!A17</f>
        <v>302</v>
      </c>
      <c r="B18" s="123" t="str">
        <f>Akun!B17</f>
        <v>Laba (Rugi) Periode Sebelumnya</v>
      </c>
      <c r="C18" s="138"/>
      <c r="D18" s="138">
        <f>SUMIF(Cashflow!D:D,A18,Cashflow!E:E)</f>
        <v>0</v>
      </c>
      <c r="E18" s="139"/>
      <c r="F18" s="138"/>
      <c r="G18" s="134">
        <f t="shared" si="0"/>
        <v>0</v>
      </c>
      <c r="H18" s="134">
        <f t="shared" si="1"/>
        <v>0</v>
      </c>
      <c r="I18" s="134">
        <f t="shared" si="2"/>
        <v>0</v>
      </c>
      <c r="J18" s="134">
        <f t="shared" si="3"/>
        <v>0</v>
      </c>
      <c r="K18" s="135">
        <f t="shared" si="4"/>
        <v>0</v>
      </c>
      <c r="L18" s="132">
        <f t="shared" si="5"/>
        <v>0</v>
      </c>
    </row>
    <row r="19" spans="1:12">
      <c r="A19" s="97">
        <f>Akun!A18</f>
        <v>303</v>
      </c>
      <c r="B19" s="123" t="str">
        <f>Akun!B18</f>
        <v>Laba (Rugi) Periode Berjalan</v>
      </c>
      <c r="C19" s="138"/>
      <c r="D19" s="138">
        <f>SUMIF(Cashflow!D:D,A19,Cashflow!E:E)</f>
        <v>0</v>
      </c>
      <c r="E19" s="139"/>
      <c r="F19" s="138"/>
      <c r="G19" s="134">
        <f t="shared" si="0"/>
        <v>0</v>
      </c>
      <c r="H19" s="134">
        <f t="shared" si="1"/>
        <v>0</v>
      </c>
      <c r="I19" s="134">
        <f t="shared" si="2"/>
        <v>0</v>
      </c>
      <c r="J19" s="134">
        <f t="shared" si="3"/>
        <v>0</v>
      </c>
      <c r="K19" s="135">
        <f t="shared" si="4"/>
        <v>0</v>
      </c>
      <c r="L19" s="132">
        <f>I54</f>
        <v>0</v>
      </c>
    </row>
    <row r="20" spans="1:12">
      <c r="A20" s="97">
        <f>Akun!A19</f>
        <v>304</v>
      </c>
      <c r="B20" s="123" t="str">
        <f>Akun!B19</f>
        <v>Prive</v>
      </c>
      <c r="C20" s="138"/>
      <c r="D20" s="138">
        <f>SUMIF(Cashflow!D:D,A20,Cashflow!E:E)</f>
        <v>0</v>
      </c>
      <c r="E20" s="139"/>
      <c r="F20" s="138"/>
      <c r="G20" s="134">
        <f t="shared" si="0"/>
        <v>0</v>
      </c>
      <c r="H20" s="134">
        <f t="shared" si="1"/>
        <v>0</v>
      </c>
      <c r="I20" s="134">
        <f t="shared" si="2"/>
        <v>0</v>
      </c>
      <c r="J20" s="134">
        <f t="shared" si="3"/>
        <v>0</v>
      </c>
      <c r="K20" s="135">
        <f t="shared" si="4"/>
        <v>0</v>
      </c>
      <c r="L20" s="132">
        <f t="shared" si="5"/>
        <v>0</v>
      </c>
    </row>
    <row r="21" spans="1:12">
      <c r="A21" s="97">
        <f>Akun!A20</f>
        <v>400</v>
      </c>
      <c r="B21" s="123" t="str">
        <f>Akun!B20</f>
        <v>Penerimaan Dana Pendaftaran</v>
      </c>
      <c r="C21" s="123"/>
      <c r="D21" s="138">
        <f>'Data Siswa'!F100</f>
        <v>0</v>
      </c>
      <c r="E21" s="139"/>
      <c r="F21" s="138"/>
      <c r="G21" s="134">
        <f t="shared" si="0"/>
        <v>0</v>
      </c>
      <c r="H21" s="134">
        <f t="shared" si="1"/>
        <v>0</v>
      </c>
      <c r="I21" s="134">
        <f t="shared" si="2"/>
        <v>0</v>
      </c>
      <c r="J21" s="134">
        <f t="shared" si="3"/>
        <v>0</v>
      </c>
      <c r="K21" s="135">
        <f t="shared" si="4"/>
        <v>0</v>
      </c>
      <c r="L21" s="132">
        <f t="shared" si="5"/>
        <v>0</v>
      </c>
    </row>
    <row r="22" spans="1:12">
      <c r="A22" s="97">
        <f>Akun!A21</f>
        <v>401</v>
      </c>
      <c r="B22" s="123" t="str">
        <f>Akun!B21</f>
        <v>Penerimaan Uang Gedung</v>
      </c>
      <c r="C22" s="123"/>
      <c r="D22" s="138">
        <f>'Data Siswa'!H100</f>
        <v>0</v>
      </c>
      <c r="E22" s="139"/>
      <c r="F22" s="138"/>
      <c r="G22" s="134">
        <f t="shared" si="0"/>
        <v>0</v>
      </c>
      <c r="H22" s="134">
        <f t="shared" si="1"/>
        <v>0</v>
      </c>
      <c r="I22" s="134">
        <f t="shared" si="2"/>
        <v>0</v>
      </c>
      <c r="J22" s="134">
        <f t="shared" si="3"/>
        <v>0</v>
      </c>
      <c r="K22" s="135">
        <f t="shared" si="4"/>
        <v>0</v>
      </c>
      <c r="L22" s="132">
        <f t="shared" si="5"/>
        <v>0</v>
      </c>
    </row>
    <row r="23" spans="1:12">
      <c r="A23" s="97">
        <f>Akun!A22</f>
        <v>402</v>
      </c>
      <c r="B23" s="98" t="str">
        <f>Akun!B22</f>
        <v>Penerimaan Uang Kegiatan</v>
      </c>
      <c r="C23" s="123"/>
      <c r="D23" s="138">
        <f>'Data Siswa'!J100</f>
        <v>0</v>
      </c>
      <c r="E23" s="136"/>
      <c r="F23" s="137"/>
      <c r="G23" s="134">
        <f t="shared" si="0"/>
        <v>0</v>
      </c>
      <c r="H23" s="134">
        <f t="shared" si="1"/>
        <v>0</v>
      </c>
      <c r="I23" s="132">
        <f t="shared" si="2"/>
        <v>0</v>
      </c>
      <c r="J23" s="132">
        <f t="shared" si="3"/>
        <v>0</v>
      </c>
      <c r="K23" s="135">
        <f t="shared" si="4"/>
        <v>0</v>
      </c>
      <c r="L23" s="132">
        <f t="shared" si="5"/>
        <v>0</v>
      </c>
    </row>
    <row r="24" spans="1:12">
      <c r="A24" s="97">
        <f>Akun!A23</f>
        <v>403</v>
      </c>
      <c r="B24" s="98" t="str">
        <f>Akun!B23</f>
        <v>Penerimaan Uang Seragam</v>
      </c>
      <c r="C24" s="123"/>
      <c r="D24" s="138">
        <f>'Data Siswa'!L100</f>
        <v>0</v>
      </c>
      <c r="E24" s="136"/>
      <c r="F24" s="137"/>
      <c r="G24" s="134">
        <f t="shared" si="0"/>
        <v>0</v>
      </c>
      <c r="H24" s="134">
        <f t="shared" si="1"/>
        <v>0</v>
      </c>
      <c r="I24" s="132">
        <f t="shared" si="2"/>
        <v>0</v>
      </c>
      <c r="J24" s="132">
        <f t="shared" si="3"/>
        <v>0</v>
      </c>
      <c r="K24" s="135">
        <f t="shared" si="4"/>
        <v>0</v>
      </c>
      <c r="L24" s="132">
        <f t="shared" si="5"/>
        <v>0</v>
      </c>
    </row>
    <row r="25" spans="1:12">
      <c r="A25" s="97">
        <f>Akun!A24</f>
        <v>404</v>
      </c>
      <c r="B25" s="98" t="str">
        <f>Akun!B24</f>
        <v>Penerimaan Uang ATK</v>
      </c>
      <c r="C25" s="123"/>
      <c r="D25" s="138">
        <f>'Data Siswa'!N100</f>
        <v>0</v>
      </c>
      <c r="E25" s="136"/>
      <c r="F25" s="137"/>
      <c r="G25" s="134">
        <f t="shared" si="0"/>
        <v>0</v>
      </c>
      <c r="H25" s="134">
        <f t="shared" si="1"/>
        <v>0</v>
      </c>
      <c r="I25" s="132">
        <f t="shared" si="2"/>
        <v>0</v>
      </c>
      <c r="J25" s="132">
        <f t="shared" si="3"/>
        <v>0</v>
      </c>
      <c r="K25" s="135">
        <f t="shared" si="4"/>
        <v>0</v>
      </c>
      <c r="L25" s="132">
        <f t="shared" si="5"/>
        <v>0</v>
      </c>
    </row>
    <row r="26" spans="1:12">
      <c r="A26" s="97">
        <f>Akun!A25</f>
        <v>405</v>
      </c>
      <c r="B26" s="98" t="str">
        <f>Akun!B25</f>
        <v>Penerimaan Uang SPP</v>
      </c>
      <c r="C26" s="123"/>
      <c r="D26" s="138">
        <f>'Data Siswa'!P100+'Data Siswa'!R100+'Data Siswa'!T100+'Data Siswa'!V100+'Data Siswa'!X100+'Data Siswa'!Z100</f>
        <v>0</v>
      </c>
      <c r="E26" s="136"/>
      <c r="F26" s="137"/>
      <c r="G26" s="134">
        <f t="shared" si="0"/>
        <v>0</v>
      </c>
      <c r="H26" s="134">
        <f t="shared" si="1"/>
        <v>0</v>
      </c>
      <c r="I26" s="132">
        <f t="shared" si="2"/>
        <v>0</v>
      </c>
      <c r="J26" s="132">
        <f t="shared" si="3"/>
        <v>0</v>
      </c>
      <c r="K26" s="135">
        <f t="shared" si="4"/>
        <v>0</v>
      </c>
      <c r="L26" s="132">
        <f t="shared" si="5"/>
        <v>0</v>
      </c>
    </row>
    <row r="27" spans="1:12">
      <c r="A27" s="97">
        <f>Akun!A26</f>
        <v>406</v>
      </c>
      <c r="B27" s="98" t="str">
        <f>Akun!B26</f>
        <v>Pendapatan Lain-Lain</v>
      </c>
      <c r="C27" s="123"/>
      <c r="D27" s="138">
        <f>SUMIF(Cashflow!D:D,A27,Cashflow!E:E)</f>
        <v>0</v>
      </c>
      <c r="E27" s="136"/>
      <c r="F27" s="137"/>
      <c r="G27" s="134">
        <f t="shared" si="0"/>
        <v>0</v>
      </c>
      <c r="H27" s="134">
        <f t="shared" si="1"/>
        <v>0</v>
      </c>
      <c r="I27" s="132">
        <f t="shared" si="2"/>
        <v>0</v>
      </c>
      <c r="J27" s="132">
        <f t="shared" si="3"/>
        <v>0</v>
      </c>
      <c r="K27" s="135">
        <f t="shared" si="4"/>
        <v>0</v>
      </c>
      <c r="L27" s="132">
        <f t="shared" si="5"/>
        <v>0</v>
      </c>
    </row>
    <row r="28" spans="1:12">
      <c r="A28" s="97">
        <f>Akun!A27</f>
        <v>407</v>
      </c>
      <c r="B28" s="98" t="str">
        <f>Akun!B27</f>
        <v>Penerimaan piutang siswa</v>
      </c>
      <c r="C28" s="123"/>
      <c r="D28" s="138">
        <f>'Data Siswa'!AC100</f>
        <v>0</v>
      </c>
      <c r="E28" s="139"/>
      <c r="F28" s="138"/>
      <c r="G28" s="134">
        <f t="shared" ref="G28" si="6">C28-E28</f>
        <v>0</v>
      </c>
      <c r="H28" s="134">
        <f t="shared" ref="H28" si="7">D28-F28</f>
        <v>0</v>
      </c>
      <c r="I28" s="132">
        <f t="shared" ref="I28" si="8">IF(A28&gt;=400,G28,0)</f>
        <v>0</v>
      </c>
      <c r="J28" s="132">
        <f t="shared" ref="J28" si="9">IF(A28&gt;=400,H28,0)</f>
        <v>0</v>
      </c>
      <c r="K28" s="135">
        <f t="shared" ref="K28" si="10">IF(A28&lt;400,G28,0)</f>
        <v>0</v>
      </c>
      <c r="L28" s="132">
        <f t="shared" ref="L28" si="11">IF(A28&lt;400,H28,0)</f>
        <v>0</v>
      </c>
    </row>
    <row r="29" spans="1:12">
      <c r="A29" s="97">
        <f>Akun!A28</f>
        <v>500</v>
      </c>
      <c r="B29" s="98" t="str">
        <f>Akun!B28</f>
        <v>Biaya Gaji</v>
      </c>
      <c r="C29" s="139">
        <f>SUMIF(Cashflow!D:D,A29,Cashflow!F:F)</f>
        <v>0</v>
      </c>
      <c r="D29" s="141"/>
      <c r="E29" s="137"/>
      <c r="F29" s="137"/>
      <c r="G29" s="134">
        <f t="shared" si="0"/>
        <v>0</v>
      </c>
      <c r="H29" s="134">
        <f t="shared" si="1"/>
        <v>0</v>
      </c>
      <c r="I29" s="132">
        <f t="shared" si="2"/>
        <v>0</v>
      </c>
      <c r="J29" s="132">
        <f t="shared" si="3"/>
        <v>0</v>
      </c>
      <c r="K29" s="135">
        <f t="shared" si="4"/>
        <v>0</v>
      </c>
      <c r="L29" s="132">
        <f t="shared" si="5"/>
        <v>0</v>
      </c>
    </row>
    <row r="30" spans="1:12">
      <c r="A30" s="97">
        <f>Akun!A29</f>
        <v>501</v>
      </c>
      <c r="B30" s="98" t="str">
        <f>Akun!B29</f>
        <v>Biaya Tunjangan</v>
      </c>
      <c r="C30" s="139">
        <f>SUMIF(Cashflow!D:D,A30,Cashflow!F:F)</f>
        <v>0</v>
      </c>
      <c r="D30" s="141"/>
      <c r="E30" s="137"/>
      <c r="F30" s="137"/>
      <c r="G30" s="134">
        <f t="shared" si="0"/>
        <v>0</v>
      </c>
      <c r="H30" s="134">
        <f t="shared" si="1"/>
        <v>0</v>
      </c>
      <c r="I30" s="132">
        <f t="shared" si="2"/>
        <v>0</v>
      </c>
      <c r="J30" s="132">
        <f t="shared" si="3"/>
        <v>0</v>
      </c>
      <c r="K30" s="135">
        <f t="shared" si="4"/>
        <v>0</v>
      </c>
      <c r="L30" s="132">
        <f t="shared" si="5"/>
        <v>0</v>
      </c>
    </row>
    <row r="31" spans="1:12">
      <c r="A31" s="97">
        <f>Akun!A30</f>
        <v>502</v>
      </c>
      <c r="B31" s="98" t="str">
        <f>Akun!B30</f>
        <v>Biaya ATK Kantor</v>
      </c>
      <c r="C31" s="139">
        <f>SUMIF(Cashflow!D:D,A31,Cashflow!F:F)</f>
        <v>0</v>
      </c>
      <c r="D31" s="141"/>
      <c r="E31" s="137"/>
      <c r="F31" s="137"/>
      <c r="G31" s="134">
        <f t="shared" si="0"/>
        <v>0</v>
      </c>
      <c r="H31" s="134">
        <f t="shared" si="1"/>
        <v>0</v>
      </c>
      <c r="I31" s="132">
        <f t="shared" si="2"/>
        <v>0</v>
      </c>
      <c r="J31" s="132">
        <f t="shared" si="3"/>
        <v>0</v>
      </c>
      <c r="K31" s="135">
        <f t="shared" si="4"/>
        <v>0</v>
      </c>
      <c r="L31" s="132">
        <f t="shared" si="5"/>
        <v>0</v>
      </c>
    </row>
    <row r="32" spans="1:12">
      <c r="A32" s="97">
        <f>Akun!A31</f>
        <v>503</v>
      </c>
      <c r="B32" s="98" t="str">
        <f>Akun!B31</f>
        <v>Biaya UKS</v>
      </c>
      <c r="C32" s="139">
        <f>SUMIF(Cashflow!D:D,A32,Cashflow!F:F)</f>
        <v>0</v>
      </c>
      <c r="D32" s="141"/>
      <c r="E32" s="137"/>
      <c r="F32" s="137"/>
      <c r="G32" s="134">
        <f t="shared" si="0"/>
        <v>0</v>
      </c>
      <c r="H32" s="134">
        <f t="shared" si="1"/>
        <v>0</v>
      </c>
      <c r="I32" s="132">
        <f t="shared" si="2"/>
        <v>0</v>
      </c>
      <c r="J32" s="132">
        <f t="shared" si="3"/>
        <v>0</v>
      </c>
      <c r="K32" s="135">
        <f t="shared" si="4"/>
        <v>0</v>
      </c>
      <c r="L32" s="132">
        <f t="shared" si="5"/>
        <v>0</v>
      </c>
    </row>
    <row r="33" spans="1:12">
      <c r="A33" s="97">
        <f>Akun!A32</f>
        <v>504</v>
      </c>
      <c r="B33" s="98" t="str">
        <f>Akun!B32</f>
        <v>Biaya Listrik, Internet dan Telepon</v>
      </c>
      <c r="C33" s="139">
        <f>SUMIF(Cashflow!D:D,A33,Cashflow!F:F)</f>
        <v>0</v>
      </c>
      <c r="D33" s="141"/>
      <c r="E33" s="137"/>
      <c r="F33" s="137"/>
      <c r="G33" s="134">
        <f t="shared" si="0"/>
        <v>0</v>
      </c>
      <c r="H33" s="134">
        <f t="shared" si="1"/>
        <v>0</v>
      </c>
      <c r="I33" s="132">
        <f t="shared" si="2"/>
        <v>0</v>
      </c>
      <c r="J33" s="132">
        <f t="shared" si="3"/>
        <v>0</v>
      </c>
      <c r="K33" s="135">
        <f t="shared" si="4"/>
        <v>0</v>
      </c>
      <c r="L33" s="132">
        <f t="shared" si="5"/>
        <v>0</v>
      </c>
    </row>
    <row r="34" spans="1:12">
      <c r="A34" s="97">
        <f>Akun!A33</f>
        <v>505</v>
      </c>
      <c r="B34" s="98" t="str">
        <f>Akun!B33</f>
        <v>Biaya iuran - iuran</v>
      </c>
      <c r="C34" s="139">
        <f>SUMIF(Cashflow!D:D,A34,Cashflow!F:F)</f>
        <v>0</v>
      </c>
      <c r="D34" s="141"/>
      <c r="E34" s="137"/>
      <c r="F34" s="137"/>
      <c r="G34" s="134">
        <f t="shared" si="0"/>
        <v>0</v>
      </c>
      <c r="H34" s="134">
        <f t="shared" si="1"/>
        <v>0</v>
      </c>
      <c r="I34" s="132">
        <f t="shared" si="2"/>
        <v>0</v>
      </c>
      <c r="J34" s="132">
        <f t="shared" si="3"/>
        <v>0</v>
      </c>
      <c r="K34" s="135">
        <f t="shared" si="4"/>
        <v>0</v>
      </c>
      <c r="L34" s="132">
        <f t="shared" si="5"/>
        <v>0</v>
      </c>
    </row>
    <row r="35" spans="1:12">
      <c r="A35" s="97">
        <f>Akun!A34</f>
        <v>506</v>
      </c>
      <c r="B35" s="98" t="str">
        <f>Akun!B34</f>
        <v>Biaya Kebersihan &amp; Kemanan Kantor</v>
      </c>
      <c r="C35" s="139">
        <f>SUMIF(Cashflow!D:D,A35,Cashflow!F:F)</f>
        <v>0</v>
      </c>
      <c r="D35" s="141"/>
      <c r="E35" s="137"/>
      <c r="F35" s="137"/>
      <c r="G35" s="134">
        <f t="shared" si="0"/>
        <v>0</v>
      </c>
      <c r="H35" s="134">
        <f t="shared" si="1"/>
        <v>0</v>
      </c>
      <c r="I35" s="132">
        <f t="shared" si="2"/>
        <v>0</v>
      </c>
      <c r="J35" s="132">
        <f t="shared" si="3"/>
        <v>0</v>
      </c>
      <c r="K35" s="135">
        <f t="shared" si="4"/>
        <v>0</v>
      </c>
      <c r="L35" s="132">
        <f t="shared" si="5"/>
        <v>0</v>
      </c>
    </row>
    <row r="36" spans="1:12">
      <c r="A36" s="97">
        <f>Akun!A35</f>
        <v>507</v>
      </c>
      <c r="B36" s="98" t="str">
        <f>Akun!B35</f>
        <v>Biaya bahan bakar</v>
      </c>
      <c r="C36" s="139">
        <f>SUMIF(Cashflow!D:D,A36,Cashflow!F:F)</f>
        <v>0</v>
      </c>
      <c r="D36" s="141"/>
      <c r="E36" s="137"/>
      <c r="F36" s="137"/>
      <c r="G36" s="134">
        <f t="shared" si="0"/>
        <v>0</v>
      </c>
      <c r="H36" s="134">
        <f t="shared" si="1"/>
        <v>0</v>
      </c>
      <c r="I36" s="132">
        <f t="shared" si="2"/>
        <v>0</v>
      </c>
      <c r="J36" s="132">
        <f t="shared" si="3"/>
        <v>0</v>
      </c>
      <c r="K36" s="135">
        <f t="shared" si="4"/>
        <v>0</v>
      </c>
      <c r="L36" s="132">
        <f t="shared" si="5"/>
        <v>0</v>
      </c>
    </row>
    <row r="37" spans="1:12">
      <c r="A37" s="97">
        <f>Akun!A36</f>
        <v>508</v>
      </c>
      <c r="B37" s="98" t="str">
        <f>Akun!B36</f>
        <v>Biaya Admin bank</v>
      </c>
      <c r="C37" s="139">
        <f>SUMIF(Cashflow!D:D,A37,Cashflow!F:F)</f>
        <v>0</v>
      </c>
      <c r="D37" s="230"/>
      <c r="E37" s="231"/>
      <c r="F37" s="231"/>
      <c r="G37" s="134">
        <f t="shared" ref="G37" si="12">C37-E37</f>
        <v>0</v>
      </c>
      <c r="H37" s="134">
        <f t="shared" ref="H37" si="13">D37-F37</f>
        <v>0</v>
      </c>
      <c r="I37" s="132">
        <f t="shared" ref="I37" si="14">IF(A37&gt;=400,G37,0)</f>
        <v>0</v>
      </c>
      <c r="J37" s="132">
        <f t="shared" ref="J37" si="15">IF(A37&gt;=400,H37,0)</f>
        <v>0</v>
      </c>
      <c r="K37" s="135">
        <f t="shared" ref="K37" si="16">IF(A37&lt;400,G37,0)</f>
        <v>0</v>
      </c>
      <c r="L37" s="132">
        <f t="shared" ref="L37" si="17">IF(A37&lt;400,H37,0)</f>
        <v>0</v>
      </c>
    </row>
    <row r="38" spans="1:12">
      <c r="A38" s="97">
        <f>Akun!A37</f>
        <v>509</v>
      </c>
      <c r="B38" s="98" t="str">
        <f>Akun!B37</f>
        <v>Biaya PPDB</v>
      </c>
      <c r="C38" s="139">
        <f>SUMIF(Cashflow!D:D,A38,Cashflow!F:F)</f>
        <v>0</v>
      </c>
      <c r="D38" s="141"/>
      <c r="E38" s="137"/>
      <c r="F38" s="137"/>
      <c r="G38" s="134">
        <f t="shared" si="0"/>
        <v>0</v>
      </c>
      <c r="H38" s="134">
        <f t="shared" si="1"/>
        <v>0</v>
      </c>
      <c r="I38" s="132">
        <f t="shared" si="2"/>
        <v>0</v>
      </c>
      <c r="J38" s="132">
        <f t="shared" si="3"/>
        <v>0</v>
      </c>
      <c r="K38" s="135">
        <f t="shared" si="4"/>
        <v>0</v>
      </c>
      <c r="L38" s="132">
        <f t="shared" si="5"/>
        <v>0</v>
      </c>
    </row>
    <row r="39" spans="1:12">
      <c r="A39" s="97">
        <f>Akun!A38</f>
        <v>510</v>
      </c>
      <c r="B39" s="98" t="str">
        <f>Akun!B38</f>
        <v>Biaya Konsumsi dan Rumah tangga</v>
      </c>
      <c r="C39" s="139">
        <f>SUMIF(Cashflow!D:D,A39,Cashflow!F:F)</f>
        <v>0</v>
      </c>
      <c r="D39" s="141"/>
      <c r="E39" s="137"/>
      <c r="F39" s="137"/>
      <c r="G39" s="134">
        <f t="shared" si="0"/>
        <v>0</v>
      </c>
      <c r="H39" s="134">
        <f t="shared" si="1"/>
        <v>0</v>
      </c>
      <c r="I39" s="132">
        <f t="shared" si="2"/>
        <v>0</v>
      </c>
      <c r="J39" s="132">
        <f t="shared" si="3"/>
        <v>0</v>
      </c>
      <c r="K39" s="135">
        <f t="shared" si="4"/>
        <v>0</v>
      </c>
      <c r="L39" s="132">
        <f t="shared" si="5"/>
        <v>0</v>
      </c>
    </row>
    <row r="40" spans="1:12">
      <c r="A40" s="97">
        <f>Akun!A39</f>
        <v>511</v>
      </c>
      <c r="B40" s="98" t="str">
        <f>Akun!B39</f>
        <v xml:space="preserve">Evaluasi Pembelajaran </v>
      </c>
      <c r="C40" s="139">
        <f>SUMIF(Cashflow!D:D,A40,Cashflow!F:F)</f>
        <v>0</v>
      </c>
      <c r="D40" s="141"/>
      <c r="E40" s="137"/>
      <c r="F40" s="137"/>
      <c r="G40" s="134">
        <f t="shared" si="0"/>
        <v>0</v>
      </c>
      <c r="H40" s="134">
        <f t="shared" si="1"/>
        <v>0</v>
      </c>
      <c r="I40" s="132">
        <f t="shared" si="2"/>
        <v>0</v>
      </c>
      <c r="J40" s="132">
        <f t="shared" si="3"/>
        <v>0</v>
      </c>
      <c r="K40" s="135">
        <f t="shared" si="4"/>
        <v>0</v>
      </c>
      <c r="L40" s="132">
        <f t="shared" si="5"/>
        <v>0</v>
      </c>
    </row>
    <row r="41" spans="1:12">
      <c r="A41" s="97">
        <f>Akun!A40</f>
        <v>512</v>
      </c>
      <c r="B41" s="98" t="str">
        <f>Akun!B40</f>
        <v>Biaya Kegiatan Kesiswaan</v>
      </c>
      <c r="C41" s="139">
        <f>SUMIF(Cashflow!D:D,A41,Cashflow!F:F)</f>
        <v>0</v>
      </c>
      <c r="D41" s="141"/>
      <c r="E41" s="137"/>
      <c r="F41" s="137"/>
      <c r="G41" s="134">
        <f t="shared" si="0"/>
        <v>0</v>
      </c>
      <c r="H41" s="134">
        <f t="shared" si="1"/>
        <v>0</v>
      </c>
      <c r="I41" s="132">
        <f t="shared" si="2"/>
        <v>0</v>
      </c>
      <c r="J41" s="132">
        <f t="shared" si="3"/>
        <v>0</v>
      </c>
      <c r="K41" s="135">
        <f t="shared" si="4"/>
        <v>0</v>
      </c>
      <c r="L41" s="132">
        <f t="shared" si="5"/>
        <v>0</v>
      </c>
    </row>
    <row r="42" spans="1:12">
      <c r="A42" s="97">
        <f>Akun!A41</f>
        <v>513</v>
      </c>
      <c r="B42" s="98" t="str">
        <f>Akun!B41</f>
        <v>Biaya Peningkatan SDM</v>
      </c>
      <c r="C42" s="139">
        <f>SUMIF(Cashflow!D:D,A42,Cashflow!F:F)</f>
        <v>0</v>
      </c>
      <c r="D42" s="141"/>
      <c r="E42" s="137"/>
      <c r="F42" s="137"/>
      <c r="G42" s="134">
        <f t="shared" si="0"/>
        <v>0</v>
      </c>
      <c r="H42" s="134">
        <f t="shared" si="1"/>
        <v>0</v>
      </c>
      <c r="I42" s="132">
        <f t="shared" si="2"/>
        <v>0</v>
      </c>
      <c r="J42" s="132">
        <f t="shared" si="3"/>
        <v>0</v>
      </c>
      <c r="K42" s="135">
        <f t="shared" si="4"/>
        <v>0</v>
      </c>
      <c r="L42" s="132">
        <f t="shared" si="5"/>
        <v>0</v>
      </c>
    </row>
    <row r="43" spans="1:12">
      <c r="A43" s="97">
        <f>Akun!A42</f>
        <v>514</v>
      </c>
      <c r="B43" s="98" t="str">
        <f>Akun!B42</f>
        <v>Biaya Parenting/POMG</v>
      </c>
      <c r="C43" s="139">
        <f>SUMIF(Cashflow!D:D,A43,Cashflow!F:F)</f>
        <v>0</v>
      </c>
      <c r="D43" s="141"/>
      <c r="E43" s="137"/>
      <c r="F43" s="137"/>
      <c r="G43" s="134">
        <f t="shared" si="0"/>
        <v>0</v>
      </c>
      <c r="H43" s="134">
        <f t="shared" si="1"/>
        <v>0</v>
      </c>
      <c r="I43" s="132">
        <f t="shared" si="2"/>
        <v>0</v>
      </c>
      <c r="J43" s="132">
        <f t="shared" si="3"/>
        <v>0</v>
      </c>
      <c r="K43" s="135">
        <f t="shared" si="4"/>
        <v>0</v>
      </c>
      <c r="L43" s="132">
        <f t="shared" si="5"/>
        <v>0</v>
      </c>
    </row>
    <row r="44" spans="1:12">
      <c r="A44" s="97">
        <f>Akun!A43</f>
        <v>515</v>
      </c>
      <c r="B44" s="98" t="str">
        <f>Akun!B43</f>
        <v>Biaya learning kit</v>
      </c>
      <c r="C44" s="139">
        <f>SUMIF(Cashflow!D:D,A44,Cashflow!F:F)</f>
        <v>0</v>
      </c>
      <c r="D44" s="141"/>
      <c r="E44" s="137"/>
      <c r="F44" s="137"/>
      <c r="G44" s="134">
        <f t="shared" si="0"/>
        <v>0</v>
      </c>
      <c r="H44" s="134">
        <f t="shared" si="1"/>
        <v>0</v>
      </c>
      <c r="I44" s="132">
        <f t="shared" si="2"/>
        <v>0</v>
      </c>
      <c r="J44" s="132">
        <f t="shared" si="3"/>
        <v>0</v>
      </c>
      <c r="K44" s="135">
        <f t="shared" si="4"/>
        <v>0</v>
      </c>
      <c r="L44" s="132">
        <f t="shared" si="5"/>
        <v>0</v>
      </c>
    </row>
    <row r="45" spans="1:12">
      <c r="A45" s="97">
        <f>Akun!A44</f>
        <v>516</v>
      </c>
      <c r="B45" s="98" t="str">
        <f>Akun!B44</f>
        <v>Biaya sarana dan prasarana</v>
      </c>
      <c r="C45" s="139">
        <f>SUMIF(Cashflow!D:D,A45,Cashflow!F:F)</f>
        <v>0</v>
      </c>
      <c r="D45" s="141"/>
      <c r="E45" s="137"/>
      <c r="F45" s="137"/>
      <c r="G45" s="134">
        <f t="shared" si="0"/>
        <v>0</v>
      </c>
      <c r="H45" s="134">
        <f t="shared" si="1"/>
        <v>0</v>
      </c>
      <c r="I45" s="132">
        <f t="shared" si="2"/>
        <v>0</v>
      </c>
      <c r="J45" s="132">
        <f t="shared" si="3"/>
        <v>0</v>
      </c>
      <c r="K45" s="135">
        <f t="shared" si="4"/>
        <v>0</v>
      </c>
      <c r="L45" s="132">
        <f t="shared" si="5"/>
        <v>0</v>
      </c>
    </row>
    <row r="46" spans="1:12">
      <c r="A46" s="97">
        <f>Akun!A45</f>
        <v>517</v>
      </c>
      <c r="B46" s="98" t="str">
        <f>Akun!B45</f>
        <v>Biaya sewa</v>
      </c>
      <c r="C46" s="139">
        <f>SUMIF(Cashflow!D:D,A46,Cashflow!F:F)</f>
        <v>0</v>
      </c>
      <c r="D46" s="141"/>
      <c r="E46" s="137"/>
      <c r="F46" s="137"/>
      <c r="G46" s="134">
        <f t="shared" si="0"/>
        <v>0</v>
      </c>
      <c r="H46" s="134">
        <f t="shared" si="1"/>
        <v>0</v>
      </c>
      <c r="I46" s="132">
        <f t="shared" si="2"/>
        <v>0</v>
      </c>
      <c r="J46" s="132">
        <f t="shared" si="3"/>
        <v>0</v>
      </c>
      <c r="K46" s="135">
        <f t="shared" si="4"/>
        <v>0</v>
      </c>
      <c r="L46" s="132">
        <f t="shared" si="5"/>
        <v>0</v>
      </c>
    </row>
    <row r="47" spans="1:12">
      <c r="A47" s="97">
        <f>Akun!A46</f>
        <v>518</v>
      </c>
      <c r="B47" s="98" t="str">
        <f>Akun!B46</f>
        <v>Biaya Kunjungan Dinas</v>
      </c>
      <c r="C47" s="139">
        <f>SUMIF(Cashflow!D:D,A47,Cashflow!F:F)</f>
        <v>0</v>
      </c>
      <c r="D47" s="230"/>
      <c r="E47" s="231"/>
      <c r="F47" s="231"/>
      <c r="G47" s="134">
        <f t="shared" ref="G47" si="18">C47-E47</f>
        <v>0</v>
      </c>
      <c r="H47" s="134">
        <f t="shared" ref="H47" si="19">D47-F47</f>
        <v>0</v>
      </c>
      <c r="I47" s="132">
        <f t="shared" ref="I47" si="20">IF(A47&gt;=400,G47,0)</f>
        <v>0</v>
      </c>
      <c r="J47" s="132">
        <f t="shared" ref="J47" si="21">IF(A47&gt;=400,H47,0)</f>
        <v>0</v>
      </c>
      <c r="K47" s="135">
        <f t="shared" ref="K47" si="22">IF(A47&lt;400,G47,0)</f>
        <v>0</v>
      </c>
      <c r="L47" s="132">
        <f t="shared" ref="L47" si="23">IF(A47&lt;400,H47,0)</f>
        <v>0</v>
      </c>
    </row>
    <row r="48" spans="1:12">
      <c r="A48" s="97">
        <f>Akun!A47</f>
        <v>519</v>
      </c>
      <c r="B48" s="98" t="str">
        <f>Akun!B47</f>
        <v>Biaya owner</v>
      </c>
      <c r="C48" s="139">
        <f>SUMIF(Cashflow!D:D,A48,Cashflow!F:F)</f>
        <v>0</v>
      </c>
      <c r="D48" s="230"/>
      <c r="E48" s="231"/>
      <c r="F48" s="231"/>
      <c r="G48" s="134">
        <f t="shared" ref="G48:G50" si="24">C48-E48</f>
        <v>0</v>
      </c>
      <c r="H48" s="134">
        <f t="shared" ref="H48:H50" si="25">D48-F48</f>
        <v>0</v>
      </c>
      <c r="I48" s="132">
        <f t="shared" ref="I48:I50" si="26">IF(A48&gt;=400,G48,0)</f>
        <v>0</v>
      </c>
      <c r="J48" s="132">
        <f t="shared" ref="J48:J50" si="27">IF(A48&gt;=400,H48,0)</f>
        <v>0</v>
      </c>
      <c r="K48" s="135">
        <f t="shared" ref="K48:K50" si="28">IF(A48&lt;400,G48,0)</f>
        <v>0</v>
      </c>
      <c r="L48" s="132">
        <f t="shared" ref="L48:L50" si="29">IF(A48&lt;400,H48,0)</f>
        <v>0</v>
      </c>
    </row>
    <row r="49" spans="1:12">
      <c r="A49" s="97">
        <f>Akun!A48</f>
        <v>520</v>
      </c>
      <c r="B49" s="98" t="str">
        <f>Akun!B48</f>
        <v>Biaya Seragam Siswa dan SDM</v>
      </c>
      <c r="C49" s="139">
        <f>SUMIF(Cashflow!D:D,A49,Cashflow!F:F)</f>
        <v>0</v>
      </c>
      <c r="D49" s="230"/>
      <c r="E49" s="231"/>
      <c r="F49" s="231"/>
      <c r="G49" s="134">
        <f t="shared" si="24"/>
        <v>0</v>
      </c>
      <c r="H49" s="134">
        <f t="shared" si="25"/>
        <v>0</v>
      </c>
      <c r="I49" s="132">
        <f t="shared" si="26"/>
        <v>0</v>
      </c>
      <c r="J49" s="132">
        <f t="shared" si="27"/>
        <v>0</v>
      </c>
      <c r="K49" s="135">
        <f t="shared" si="28"/>
        <v>0</v>
      </c>
      <c r="L49" s="132">
        <f t="shared" si="29"/>
        <v>0</v>
      </c>
    </row>
    <row r="50" spans="1:12">
      <c r="A50" s="97">
        <f>Akun!A49</f>
        <v>521</v>
      </c>
      <c r="B50" s="98" t="str">
        <f>Akun!B49</f>
        <v>Biaya ATK Siswa</v>
      </c>
      <c r="C50" s="139">
        <f>SUMIF(Cashflow!D:D,A50,Cashflow!F:F)</f>
        <v>0</v>
      </c>
      <c r="D50" s="230"/>
      <c r="E50" s="231"/>
      <c r="F50" s="231"/>
      <c r="G50" s="134">
        <f t="shared" si="24"/>
        <v>0</v>
      </c>
      <c r="H50" s="134">
        <f t="shared" si="25"/>
        <v>0</v>
      </c>
      <c r="I50" s="132">
        <f t="shared" si="26"/>
        <v>0</v>
      </c>
      <c r="J50" s="132">
        <f t="shared" si="27"/>
        <v>0</v>
      </c>
      <c r="K50" s="135">
        <f t="shared" si="28"/>
        <v>0</v>
      </c>
      <c r="L50" s="132">
        <f t="shared" si="29"/>
        <v>0</v>
      </c>
    </row>
    <row r="51" spans="1:12">
      <c r="A51" s="97"/>
      <c r="B51" s="98"/>
      <c r="C51" s="139"/>
      <c r="D51" s="141"/>
      <c r="E51" s="137"/>
      <c r="F51" s="137"/>
      <c r="G51" s="134"/>
      <c r="H51" s="134"/>
      <c r="I51" s="132"/>
      <c r="J51" s="132"/>
      <c r="K51" s="135"/>
      <c r="L51" s="132"/>
    </row>
    <row r="52" spans="1:12">
      <c r="A52" s="97"/>
      <c r="B52" s="98"/>
      <c r="C52" s="139"/>
      <c r="D52" s="141"/>
      <c r="E52" s="136"/>
      <c r="F52" s="137"/>
      <c r="G52" s="134"/>
      <c r="H52" s="134"/>
      <c r="I52" s="132"/>
      <c r="J52" s="132"/>
      <c r="K52" s="135"/>
      <c r="L52" s="132"/>
    </row>
    <row r="53" spans="1:12">
      <c r="C53" s="142">
        <f>SUM(C3:C52)</f>
        <v>0</v>
      </c>
      <c r="D53" s="142">
        <f>SUM(D3:D52)</f>
        <v>0</v>
      </c>
      <c r="E53" s="142">
        <f t="shared" ref="E53:L53" si="30">SUM(E3:E52)</f>
        <v>0</v>
      </c>
      <c r="F53" s="142">
        <f t="shared" si="30"/>
        <v>0</v>
      </c>
      <c r="G53" s="142">
        <f t="shared" si="30"/>
        <v>0</v>
      </c>
      <c r="H53" s="142">
        <f t="shared" si="30"/>
        <v>0</v>
      </c>
      <c r="I53" s="142">
        <f t="shared" si="30"/>
        <v>0</v>
      </c>
      <c r="J53" s="142">
        <f t="shared" si="30"/>
        <v>0</v>
      </c>
      <c r="K53" s="142">
        <f t="shared" si="30"/>
        <v>0</v>
      </c>
      <c r="L53" s="142">
        <f t="shared" si="30"/>
        <v>0</v>
      </c>
    </row>
    <row r="54" spans="1:12">
      <c r="I54" s="142">
        <f>J53-I53</f>
        <v>0</v>
      </c>
    </row>
  </sheetData>
  <mergeCells count="6">
    <mergeCell ref="C1:D1"/>
    <mergeCell ref="E1:F1"/>
    <mergeCell ref="I1:J1"/>
    <mergeCell ref="A1:A2"/>
    <mergeCell ref="B1:B2"/>
    <mergeCell ref="G1:H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T27"/>
  <sheetViews>
    <sheetView showGridLines="0" view="pageBreakPreview" topLeftCell="A10" zoomScaleSheetLayoutView="100" workbookViewId="0">
      <selection activeCell="P3" sqref="P3"/>
    </sheetView>
  </sheetViews>
  <sheetFormatPr defaultRowHeight="15"/>
  <cols>
    <col min="1" max="11" width="9.140625" style="2"/>
    <col min="12" max="12" width="12.85546875" style="2" customWidth="1"/>
    <col min="13" max="13" width="2" style="2" bestFit="1" customWidth="1"/>
    <col min="14" max="14" width="10.85546875" style="2" customWidth="1"/>
    <col min="15" max="16384" width="9.140625" style="2"/>
  </cols>
  <sheetData>
    <row r="1" spans="1:20" ht="26.25">
      <c r="A1" s="409" t="s">
        <v>115</v>
      </c>
      <c r="B1" s="409"/>
      <c r="C1" s="409"/>
      <c r="D1" s="409"/>
      <c r="E1" s="409"/>
      <c r="F1" s="409"/>
      <c r="G1" s="409"/>
      <c r="H1" s="409"/>
      <c r="I1" s="409"/>
    </row>
    <row r="2" spans="1:20" ht="14.1" customHeight="1">
      <c r="A2" s="48"/>
      <c r="B2" s="48"/>
      <c r="C2" s="48"/>
      <c r="D2" s="48"/>
      <c r="E2" s="48"/>
      <c r="F2" s="48"/>
      <c r="G2" s="48"/>
      <c r="H2" s="48"/>
      <c r="I2" s="48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</row>
    <row r="3" spans="1:20" ht="26.25">
      <c r="A3" s="409" t="s">
        <v>128</v>
      </c>
      <c r="B3" s="409"/>
      <c r="C3" s="409"/>
      <c r="D3" s="409"/>
      <c r="E3" s="409"/>
      <c r="F3" s="409"/>
      <c r="G3" s="409"/>
      <c r="H3" s="409"/>
      <c r="I3" s="409"/>
      <c r="J3" s="120" t="s">
        <v>116</v>
      </c>
      <c r="K3" s="120"/>
      <c r="L3" s="120"/>
      <c r="M3" s="120" t="s">
        <v>117</v>
      </c>
      <c r="N3" s="120" t="s">
        <v>87</v>
      </c>
      <c r="O3" s="121">
        <v>2021</v>
      </c>
      <c r="P3" s="121">
        <v>2022</v>
      </c>
      <c r="Q3" s="57"/>
      <c r="R3" s="57"/>
      <c r="S3" s="57"/>
      <c r="T3" s="57"/>
    </row>
    <row r="4" spans="1:20" ht="14.1" customHeight="1">
      <c r="A4" s="48"/>
      <c r="B4" s="48"/>
      <c r="C4" s="48"/>
      <c r="D4" s="48"/>
      <c r="E4" s="48"/>
      <c r="F4" s="48"/>
      <c r="G4" s="48"/>
      <c r="H4" s="48"/>
      <c r="I4" s="48"/>
      <c r="J4" s="120"/>
      <c r="K4" s="120"/>
      <c r="L4" s="120"/>
      <c r="M4" s="120"/>
      <c r="N4" s="120"/>
      <c r="O4" s="120"/>
      <c r="P4" s="57"/>
      <c r="Q4" s="57"/>
      <c r="R4" s="57"/>
      <c r="S4" s="57"/>
      <c r="T4" s="57"/>
    </row>
    <row r="5" spans="1:20" ht="26.25">
      <c r="A5" s="409" t="str">
        <f>"TAHUN AJARAN "&amp;O3&amp;" - "&amp;P3</f>
        <v>TAHUN AJARAN 2021 - 2022</v>
      </c>
      <c r="B5" s="409"/>
      <c r="C5" s="409"/>
      <c r="D5" s="409"/>
      <c r="E5" s="409"/>
      <c r="F5" s="409"/>
      <c r="G5" s="409"/>
      <c r="H5" s="409"/>
      <c r="I5" s="409"/>
      <c r="J5" s="120" t="s">
        <v>122</v>
      </c>
      <c r="K5" s="57"/>
      <c r="L5" s="57"/>
      <c r="M5" s="57" t="s">
        <v>121</v>
      </c>
      <c r="N5" s="120" t="s">
        <v>123</v>
      </c>
      <c r="O5" s="57"/>
      <c r="P5" s="57"/>
      <c r="Q5" s="57"/>
      <c r="R5" s="57"/>
      <c r="S5" s="57"/>
      <c r="T5" s="57"/>
    </row>
    <row r="6" spans="1:20" ht="14.1" customHeight="1">
      <c r="A6" s="48"/>
      <c r="B6" s="48"/>
      <c r="C6" s="48"/>
      <c r="D6" s="48"/>
      <c r="E6" s="48"/>
      <c r="F6" s="48"/>
      <c r="G6" s="48"/>
      <c r="H6" s="48"/>
      <c r="I6" s="48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1:20" ht="26.25">
      <c r="A7" s="409" t="str">
        <f>"PERIODE "&amp;N3&amp;" "&amp;P3</f>
        <v>PERIODE JULI 2022</v>
      </c>
      <c r="B7" s="409"/>
      <c r="C7" s="409"/>
      <c r="D7" s="409"/>
      <c r="E7" s="409"/>
      <c r="F7" s="409"/>
      <c r="G7" s="409"/>
      <c r="H7" s="409"/>
      <c r="I7" s="409"/>
      <c r="J7" s="120" t="s">
        <v>83</v>
      </c>
      <c r="K7" s="120"/>
      <c r="L7" s="120"/>
      <c r="M7" s="120" t="s">
        <v>121</v>
      </c>
      <c r="N7" s="120" t="s">
        <v>124</v>
      </c>
      <c r="O7" s="120"/>
      <c r="P7" s="57"/>
      <c r="Q7" s="57"/>
      <c r="R7" s="57"/>
      <c r="S7" s="57"/>
      <c r="T7" s="57"/>
    </row>
    <row r="8" spans="1:20">
      <c r="A8" s="20"/>
      <c r="B8" s="20"/>
      <c r="C8" s="20"/>
      <c r="D8" s="20"/>
      <c r="E8" s="20"/>
      <c r="F8" s="20"/>
      <c r="G8" s="20"/>
      <c r="H8" s="20"/>
      <c r="I8" s="20"/>
      <c r="J8" s="120" t="s">
        <v>112</v>
      </c>
      <c r="K8" s="120"/>
      <c r="L8" s="120"/>
      <c r="M8" s="120" t="s">
        <v>121</v>
      </c>
      <c r="N8" s="120" t="s">
        <v>127</v>
      </c>
      <c r="O8" s="120"/>
      <c r="P8" s="57"/>
      <c r="Q8" s="57"/>
      <c r="R8" s="57"/>
      <c r="S8" s="57"/>
      <c r="T8" s="57"/>
    </row>
    <row r="9" spans="1:20">
      <c r="A9" s="20"/>
      <c r="B9" s="20"/>
      <c r="C9" s="20"/>
      <c r="D9" s="20"/>
      <c r="E9" s="20"/>
      <c r="F9" s="20"/>
      <c r="G9" s="20"/>
      <c r="H9" s="20"/>
      <c r="I9" s="20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</row>
    <row r="11" spans="1:20">
      <c r="A11" s="20"/>
      <c r="B11" s="20"/>
      <c r="C11" s="20"/>
      <c r="D11" s="20"/>
      <c r="E11" s="20"/>
      <c r="F11" s="20"/>
      <c r="G11" s="20"/>
      <c r="H11" s="20"/>
      <c r="I11" s="20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</row>
    <row r="12" spans="1:20">
      <c r="A12" s="20"/>
      <c r="B12" s="20"/>
      <c r="C12" s="20"/>
      <c r="D12" s="20"/>
      <c r="E12" s="20"/>
      <c r="F12" s="20"/>
      <c r="G12" s="20"/>
      <c r="H12" s="20"/>
      <c r="I12" s="20"/>
      <c r="J12" s="57" t="s">
        <v>94</v>
      </c>
      <c r="K12" s="57">
        <v>2020</v>
      </c>
      <c r="L12" s="57" t="s">
        <v>126</v>
      </c>
      <c r="M12" s="57"/>
      <c r="N12" s="57"/>
      <c r="O12" s="57"/>
      <c r="P12" s="57"/>
      <c r="Q12" s="57"/>
      <c r="R12" s="57"/>
      <c r="S12" s="57"/>
      <c r="T12" s="57"/>
    </row>
    <row r="13" spans="1:20">
      <c r="A13" s="20"/>
      <c r="B13" s="20"/>
      <c r="C13" s="20"/>
      <c r="D13" s="20"/>
      <c r="E13" s="20"/>
      <c r="F13" s="20"/>
      <c r="G13" s="20"/>
      <c r="H13" s="20"/>
      <c r="I13" s="20"/>
      <c r="J13" s="57" t="s">
        <v>95</v>
      </c>
      <c r="K13" s="57">
        <v>2021</v>
      </c>
      <c r="L13" s="57"/>
    </row>
    <row r="14" spans="1:20">
      <c r="A14" s="20"/>
      <c r="B14" s="20"/>
      <c r="C14" s="20"/>
      <c r="D14" s="20"/>
      <c r="E14" s="20"/>
      <c r="F14" s="20"/>
      <c r="G14" s="20"/>
      <c r="H14" s="20"/>
      <c r="I14" s="20"/>
      <c r="J14" s="57" t="s">
        <v>96</v>
      </c>
      <c r="K14" s="57">
        <v>2022</v>
      </c>
      <c r="L14" s="57" t="s">
        <v>123</v>
      </c>
    </row>
    <row r="15" spans="1:20">
      <c r="A15" s="20"/>
      <c r="B15" s="20"/>
      <c r="C15" s="20"/>
      <c r="D15" s="20"/>
      <c r="E15" s="20"/>
      <c r="F15" s="20"/>
      <c r="G15" s="20"/>
      <c r="H15" s="20"/>
      <c r="I15" s="20"/>
      <c r="J15" s="57" t="s">
        <v>97</v>
      </c>
      <c r="K15" s="57">
        <v>2023</v>
      </c>
      <c r="L15" s="57" t="s">
        <v>123</v>
      </c>
    </row>
    <row r="16" spans="1:20">
      <c r="A16" s="20"/>
      <c r="B16" s="20"/>
      <c r="C16" s="20"/>
      <c r="D16" s="20"/>
      <c r="E16" s="20"/>
      <c r="F16" s="20"/>
      <c r="G16" s="20"/>
      <c r="H16" s="20"/>
      <c r="I16" s="20"/>
      <c r="J16" s="57" t="s">
        <v>98</v>
      </c>
      <c r="K16" s="57">
        <v>2024</v>
      </c>
      <c r="L16" s="57" t="s">
        <v>123</v>
      </c>
    </row>
    <row r="17" spans="1:12">
      <c r="A17" s="20"/>
      <c r="B17" s="20"/>
      <c r="C17" s="20"/>
      <c r="D17" s="20"/>
      <c r="E17" s="20"/>
      <c r="F17" s="20"/>
      <c r="G17" s="20"/>
      <c r="H17" s="20"/>
      <c r="I17" s="20"/>
      <c r="J17" s="57" t="s">
        <v>99</v>
      </c>
      <c r="K17" s="57">
        <v>2025</v>
      </c>
      <c r="L17" s="57"/>
    </row>
    <row r="18" spans="1:12">
      <c r="A18" s="20"/>
      <c r="B18" s="20"/>
      <c r="C18" s="20"/>
      <c r="D18" s="20"/>
      <c r="E18" s="20"/>
      <c r="F18" s="20"/>
      <c r="G18" s="20"/>
      <c r="H18" s="20"/>
      <c r="I18" s="20"/>
      <c r="J18" s="57" t="s">
        <v>87</v>
      </c>
      <c r="K18" s="57">
        <v>2026</v>
      </c>
      <c r="L18" s="57"/>
    </row>
    <row r="19" spans="1:12">
      <c r="A19" s="20"/>
      <c r="B19" s="20"/>
      <c r="C19" s="20"/>
      <c r="D19" s="20"/>
      <c r="E19" s="20"/>
      <c r="F19" s="20"/>
      <c r="G19" s="20"/>
      <c r="H19" s="20"/>
      <c r="I19" s="20"/>
      <c r="J19" s="57" t="s">
        <v>88</v>
      </c>
      <c r="K19" s="57">
        <v>2027</v>
      </c>
      <c r="L19" s="57"/>
    </row>
    <row r="20" spans="1:12">
      <c r="A20" s="20"/>
      <c r="B20" s="20"/>
      <c r="C20" s="20"/>
      <c r="D20" s="20"/>
      <c r="E20" s="20"/>
      <c r="F20" s="20"/>
      <c r="G20" s="20"/>
      <c r="H20" s="20"/>
      <c r="I20" s="20"/>
      <c r="J20" s="57" t="s">
        <v>89</v>
      </c>
      <c r="K20" s="57">
        <v>2028</v>
      </c>
      <c r="L20" s="57"/>
    </row>
    <row r="21" spans="1:12">
      <c r="A21" s="20"/>
      <c r="B21" s="20"/>
      <c r="C21" s="20"/>
      <c r="D21" s="20"/>
      <c r="E21" s="20"/>
      <c r="F21" s="20"/>
      <c r="G21" s="20"/>
      <c r="H21" s="20"/>
      <c r="I21" s="20"/>
      <c r="J21" s="57" t="s">
        <v>91</v>
      </c>
      <c r="K21" s="57">
        <v>2029</v>
      </c>
      <c r="L21" s="57"/>
    </row>
    <row r="22" spans="1:12">
      <c r="A22" s="20"/>
      <c r="B22" s="20"/>
      <c r="C22" s="20"/>
      <c r="D22" s="20"/>
      <c r="E22" s="20"/>
      <c r="F22" s="20"/>
      <c r="G22" s="20"/>
      <c r="H22" s="20"/>
      <c r="I22" s="20"/>
      <c r="J22" s="57" t="s">
        <v>92</v>
      </c>
      <c r="K22" s="57">
        <v>2030</v>
      </c>
      <c r="L22" s="57"/>
    </row>
    <row r="23" spans="1:12">
      <c r="A23" s="20"/>
      <c r="B23" s="20"/>
      <c r="C23" s="20"/>
      <c r="D23" s="20"/>
      <c r="E23" s="20"/>
      <c r="F23" s="20"/>
      <c r="G23" s="20"/>
      <c r="H23" s="20"/>
      <c r="I23" s="20"/>
      <c r="J23" s="57" t="s">
        <v>93</v>
      </c>
      <c r="K23" s="57">
        <v>2031</v>
      </c>
      <c r="L23" s="57"/>
    </row>
    <row r="25" spans="1:12">
      <c r="J25" s="57" t="s">
        <v>127</v>
      </c>
    </row>
    <row r="26" spans="1:12">
      <c r="J26" s="57" t="s">
        <v>123</v>
      </c>
    </row>
    <row r="27" spans="1:12">
      <c r="J27" s="57" t="s">
        <v>123</v>
      </c>
    </row>
  </sheetData>
  <mergeCells count="4">
    <mergeCell ref="A1:I1"/>
    <mergeCell ref="A3:I3"/>
    <mergeCell ref="A5:I5"/>
    <mergeCell ref="A7:I7"/>
  </mergeCells>
  <dataValidations count="4">
    <dataValidation type="list" allowBlank="1" showInputMessage="1" showErrorMessage="1" sqref="N5">
      <formula1>$L$12:$L$17</formula1>
    </dataValidation>
    <dataValidation type="list" allowBlank="1" showInputMessage="1" showErrorMessage="1" sqref="O3:P3">
      <formula1>$K$12:$K$23</formula1>
    </dataValidation>
    <dataValidation type="list" allowBlank="1" showInputMessage="1" showErrorMessage="1" sqref="N3">
      <formula1>$J$12:$J$23</formula1>
    </dataValidation>
    <dataValidation type="list" allowBlank="1" showInputMessage="1" showErrorMessage="1" sqref="N8">
      <formula1>$J$25:$J$27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showGridLines="0" view="pageBreakPreview" topLeftCell="A22" zoomScaleSheetLayoutView="100" workbookViewId="0">
      <selection activeCell="H30" sqref="H30"/>
    </sheetView>
  </sheetViews>
  <sheetFormatPr defaultRowHeight="15"/>
  <cols>
    <col min="1" max="1" width="4.28515625" style="20" customWidth="1"/>
    <col min="2" max="2" width="3.42578125" style="20" bestFit="1" customWidth="1"/>
    <col min="3" max="3" width="36.85546875" style="20" customWidth="1"/>
    <col min="4" max="4" width="15.42578125" style="20" bestFit="1" customWidth="1"/>
    <col min="5" max="5" width="14.7109375" style="20" customWidth="1"/>
    <col min="6" max="6" width="4.28515625" style="20" customWidth="1"/>
    <col min="7" max="16384" width="9.140625" style="20"/>
  </cols>
  <sheetData>
    <row r="1" spans="1:6">
      <c r="A1" s="148" t="str">
        <f>Neraca!B3</f>
        <v>AL MADEENA ISLAMIC SCHOOL TAHUN AJARAN 2021 - 2022</v>
      </c>
      <c r="B1" s="146"/>
      <c r="C1" s="146"/>
      <c r="D1" s="146"/>
      <c r="E1" s="146"/>
      <c r="F1" s="146"/>
    </row>
    <row r="2" spans="1:6" ht="15.75">
      <c r="A2" s="148" t="str">
        <f>Neraca!B4</f>
        <v>NERACA</v>
      </c>
      <c r="B2" s="146"/>
      <c r="C2" s="146"/>
      <c r="D2" s="146"/>
      <c r="E2" s="147"/>
      <c r="F2" s="146"/>
    </row>
    <row r="3" spans="1:6" ht="15.75">
      <c r="A3" s="148" t="str">
        <f>Neraca!B5</f>
        <v>PERIODE JULI 2021</v>
      </c>
      <c r="B3" s="146"/>
      <c r="C3" s="146"/>
      <c r="D3" s="146"/>
      <c r="E3" s="147"/>
      <c r="F3" s="146"/>
    </row>
    <row r="4" spans="1:6" ht="15.75">
      <c r="B4" s="27"/>
      <c r="C4" s="27"/>
      <c r="D4" s="27"/>
      <c r="E4" s="22"/>
      <c r="F4" s="27"/>
    </row>
    <row r="5" spans="1:6">
      <c r="B5" s="152" t="s">
        <v>27</v>
      </c>
      <c r="C5" s="152" t="s">
        <v>28</v>
      </c>
      <c r="D5" s="238" t="s">
        <v>205</v>
      </c>
      <c r="E5" s="153" t="s">
        <v>164</v>
      </c>
    </row>
    <row r="6" spans="1:6">
      <c r="B6" s="127" t="s">
        <v>0</v>
      </c>
      <c r="C6" s="128" t="s">
        <v>29</v>
      </c>
      <c r="D6" s="237"/>
      <c r="E6" s="124"/>
    </row>
    <row r="7" spans="1:6">
      <c r="B7" s="130">
        <v>1</v>
      </c>
      <c r="C7" s="131" t="str">
        <f>Akun!B20</f>
        <v>Penerimaan Dana Pendaftaran</v>
      </c>
      <c r="D7" s="131" t="str">
        <f>Akun!C20</f>
        <v>Pendapatan</v>
      </c>
      <c r="E7" s="124">
        <f>Rekap!J21</f>
        <v>0</v>
      </c>
    </row>
    <row r="8" spans="1:6">
      <c r="B8" s="130">
        <v>2</v>
      </c>
      <c r="C8" s="131" t="str">
        <f>Akun!B21</f>
        <v>Penerimaan Uang Gedung</v>
      </c>
      <c r="D8" s="131" t="str">
        <f>Akun!C21</f>
        <v>Pendapatan</v>
      </c>
      <c r="E8" s="124">
        <f>Rekap!J22</f>
        <v>0</v>
      </c>
    </row>
    <row r="9" spans="1:6">
      <c r="B9" s="130">
        <v>3</v>
      </c>
      <c r="C9" s="131" t="str">
        <f>Akun!B22</f>
        <v>Penerimaan Uang Kegiatan</v>
      </c>
      <c r="D9" s="131" t="str">
        <f>Akun!C22</f>
        <v>Pendapatan</v>
      </c>
      <c r="E9" s="124">
        <f>Rekap!J23</f>
        <v>0</v>
      </c>
    </row>
    <row r="10" spans="1:6">
      <c r="B10" s="130">
        <v>4</v>
      </c>
      <c r="C10" s="131" t="str">
        <f>Akun!B23</f>
        <v>Penerimaan Uang Seragam</v>
      </c>
      <c r="D10" s="131" t="str">
        <f>Akun!C23</f>
        <v>Pendapatan</v>
      </c>
      <c r="E10" s="124">
        <f>Rekap!J24</f>
        <v>0</v>
      </c>
    </row>
    <row r="11" spans="1:6">
      <c r="B11" s="130">
        <v>5</v>
      </c>
      <c r="C11" s="131" t="str">
        <f>Akun!B24</f>
        <v>Penerimaan Uang ATK</v>
      </c>
      <c r="D11" s="131" t="str">
        <f>Akun!C24</f>
        <v>Pendapatan</v>
      </c>
      <c r="E11" s="124">
        <f>Rekap!J25</f>
        <v>0</v>
      </c>
    </row>
    <row r="12" spans="1:6">
      <c r="B12" s="130">
        <v>6</v>
      </c>
      <c r="C12" s="131" t="str">
        <f>Akun!B25</f>
        <v>Penerimaan Uang SPP</v>
      </c>
      <c r="D12" s="131" t="str">
        <f>Akun!C25</f>
        <v>Pendapatan</v>
      </c>
      <c r="E12" s="124">
        <f>Rekap!J26</f>
        <v>0</v>
      </c>
    </row>
    <row r="13" spans="1:6">
      <c r="B13" s="130">
        <v>7</v>
      </c>
      <c r="C13" s="131" t="str">
        <f>Akun!B26</f>
        <v>Pendapatan Lain-Lain</v>
      </c>
      <c r="D13" s="131" t="str">
        <f>Akun!C26</f>
        <v>Pendapatan</v>
      </c>
      <c r="E13" s="124">
        <f>Rekap!J27</f>
        <v>0</v>
      </c>
    </row>
    <row r="14" spans="1:6">
      <c r="B14" s="130">
        <v>8</v>
      </c>
      <c r="C14" s="131" t="str">
        <f>Akun!B27</f>
        <v>Penerimaan piutang siswa</v>
      </c>
      <c r="D14" s="131" t="str">
        <f>Akun!C27</f>
        <v>Pendapatan</v>
      </c>
      <c r="E14" s="124">
        <f>Rekap!J28</f>
        <v>0</v>
      </c>
    </row>
    <row r="15" spans="1:6">
      <c r="B15" s="127" t="s">
        <v>0</v>
      </c>
      <c r="C15" s="128" t="s">
        <v>31</v>
      </c>
      <c r="D15" s="237"/>
      <c r="E15" s="129">
        <f>SUM(E7:E14)</f>
        <v>0</v>
      </c>
    </row>
    <row r="16" spans="1:6">
      <c r="B16" s="127"/>
      <c r="C16" s="128"/>
      <c r="D16" s="237"/>
      <c r="E16" s="129"/>
    </row>
    <row r="17" spans="2:5">
      <c r="B17" s="127" t="s">
        <v>0</v>
      </c>
      <c r="C17" s="128" t="s">
        <v>32</v>
      </c>
      <c r="D17" s="237"/>
      <c r="E17" s="124"/>
    </row>
    <row r="18" spans="2:5">
      <c r="B18" s="130" t="s">
        <v>30</v>
      </c>
      <c r="C18" s="239" t="str">
        <f>Akun!B28</f>
        <v>Biaya Gaji</v>
      </c>
      <c r="D18" s="239" t="str">
        <f>Akun!C28</f>
        <v>Biaya SPP</v>
      </c>
      <c r="E18" s="124">
        <f>Rekap!I29</f>
        <v>0</v>
      </c>
    </row>
    <row r="19" spans="2:5">
      <c r="B19" s="130" t="s">
        <v>33</v>
      </c>
      <c r="C19" s="239" t="str">
        <f>Akun!B29</f>
        <v>Biaya Tunjangan</v>
      </c>
      <c r="D19" s="239" t="str">
        <f>Akun!C29</f>
        <v>Biaya SPP</v>
      </c>
      <c r="E19" s="124">
        <f>Rekap!I30</f>
        <v>0</v>
      </c>
    </row>
    <row r="20" spans="2:5">
      <c r="B20" s="130" t="s">
        <v>34</v>
      </c>
      <c r="C20" s="239" t="str">
        <f>Akun!B30</f>
        <v>Biaya ATK Kantor</v>
      </c>
      <c r="D20" s="239" t="str">
        <f>Akun!C30</f>
        <v>Biaya SPP</v>
      </c>
      <c r="E20" s="124">
        <f>Rekap!I31</f>
        <v>0</v>
      </c>
    </row>
    <row r="21" spans="2:5">
      <c r="B21" s="130" t="s">
        <v>35</v>
      </c>
      <c r="C21" s="239" t="str">
        <f>Akun!B31</f>
        <v>Biaya UKS</v>
      </c>
      <c r="D21" s="239" t="str">
        <f>Akun!C31</f>
        <v>Biaya SPP</v>
      </c>
      <c r="E21" s="124">
        <f>Rekap!I32</f>
        <v>0</v>
      </c>
    </row>
    <row r="22" spans="2:5">
      <c r="B22" s="130" t="s">
        <v>36</v>
      </c>
      <c r="C22" s="239" t="str">
        <f>Akun!B32</f>
        <v>Biaya Listrik, Internet dan Telepon</v>
      </c>
      <c r="D22" s="239" t="str">
        <f>Akun!C32</f>
        <v>Biaya SPP</v>
      </c>
      <c r="E22" s="124">
        <f>Rekap!I33</f>
        <v>0</v>
      </c>
    </row>
    <row r="23" spans="2:5">
      <c r="B23" s="130" t="s">
        <v>37</v>
      </c>
      <c r="C23" s="239" t="str">
        <f>Akun!B33</f>
        <v>Biaya iuran - iuran</v>
      </c>
      <c r="D23" s="239" t="str">
        <f>Akun!C33</f>
        <v>Biaya SPP</v>
      </c>
      <c r="E23" s="124">
        <f>Rekap!I34</f>
        <v>0</v>
      </c>
    </row>
    <row r="24" spans="2:5">
      <c r="B24" s="130" t="s">
        <v>38</v>
      </c>
      <c r="C24" s="239" t="str">
        <f>Akun!B34</f>
        <v>Biaya Kebersihan &amp; Kemanan Kantor</v>
      </c>
      <c r="D24" s="239" t="str">
        <f>Akun!C34</f>
        <v>Biaya SPP</v>
      </c>
      <c r="E24" s="124">
        <f>Rekap!I35</f>
        <v>0</v>
      </c>
    </row>
    <row r="25" spans="2:5">
      <c r="B25" s="130" t="s">
        <v>39</v>
      </c>
      <c r="C25" s="239" t="str">
        <f>Akun!B35</f>
        <v>Biaya bahan bakar</v>
      </c>
      <c r="D25" s="239" t="str">
        <f>Akun!C35</f>
        <v>Biaya SPP</v>
      </c>
      <c r="E25" s="124">
        <f>Rekap!I36</f>
        <v>0</v>
      </c>
    </row>
    <row r="26" spans="2:5">
      <c r="B26" s="130" t="s">
        <v>40</v>
      </c>
      <c r="C26" s="239" t="str">
        <f>Akun!B36</f>
        <v>Biaya Admin bank</v>
      </c>
      <c r="D26" s="239" t="str">
        <f>Akun!C36</f>
        <v>Biaya SPP</v>
      </c>
      <c r="E26" s="124">
        <f>Rekap!I37</f>
        <v>0</v>
      </c>
    </row>
    <row r="27" spans="2:5">
      <c r="B27" s="130" t="s">
        <v>41</v>
      </c>
      <c r="C27" s="239" t="str">
        <f>Akun!B37</f>
        <v>Biaya PPDB</v>
      </c>
      <c r="D27" s="239" t="str">
        <f>Akun!C37</f>
        <v>Biaya Pendaftaran</v>
      </c>
      <c r="E27" s="124">
        <f>Rekap!I38</f>
        <v>0</v>
      </c>
    </row>
    <row r="28" spans="2:5">
      <c r="B28" s="130" t="s">
        <v>42</v>
      </c>
      <c r="C28" s="239" t="str">
        <f>Akun!B38</f>
        <v>Biaya Konsumsi dan Rumah tangga</v>
      </c>
      <c r="D28" s="239" t="str">
        <f>Akun!C38</f>
        <v>Biaya Kegiatan</v>
      </c>
      <c r="E28" s="124">
        <f>Rekap!I39</f>
        <v>0</v>
      </c>
    </row>
    <row r="29" spans="2:5">
      <c r="B29" s="130" t="s">
        <v>43</v>
      </c>
      <c r="C29" s="239" t="str">
        <f>Akun!B39</f>
        <v xml:space="preserve">Evaluasi Pembelajaran </v>
      </c>
      <c r="D29" s="239" t="str">
        <f>Akun!C39</f>
        <v>Biaya Kegiatan</v>
      </c>
      <c r="E29" s="124">
        <f>Rekap!I40</f>
        <v>0</v>
      </c>
    </row>
    <row r="30" spans="2:5">
      <c r="B30" s="130" t="s">
        <v>44</v>
      </c>
      <c r="C30" s="239" t="str">
        <f>Akun!B40</f>
        <v>Biaya Kegiatan Kesiswaan</v>
      </c>
      <c r="D30" s="239" t="str">
        <f>Akun!C40</f>
        <v>Biaya Kegiatan</v>
      </c>
      <c r="E30" s="124">
        <f>Rekap!I41</f>
        <v>0</v>
      </c>
    </row>
    <row r="31" spans="2:5">
      <c r="B31" s="130" t="s">
        <v>45</v>
      </c>
      <c r="C31" s="239" t="str">
        <f>Akun!B41</f>
        <v>Biaya Peningkatan SDM</v>
      </c>
      <c r="D31" s="239" t="str">
        <f>Akun!C41</f>
        <v>Biaya Kegiatan</v>
      </c>
      <c r="E31" s="124">
        <f>Rekap!I42</f>
        <v>0</v>
      </c>
    </row>
    <row r="32" spans="2:5">
      <c r="B32" s="130" t="s">
        <v>46</v>
      </c>
      <c r="C32" s="239" t="str">
        <f>Akun!B42</f>
        <v>Biaya Parenting/POMG</v>
      </c>
      <c r="D32" s="239" t="str">
        <f>Akun!C42</f>
        <v>Biaya Kegiatan</v>
      </c>
      <c r="E32" s="124">
        <f>Rekap!I43</f>
        <v>0</v>
      </c>
    </row>
    <row r="33" spans="2:5">
      <c r="B33" s="130" t="s">
        <v>47</v>
      </c>
      <c r="C33" s="239" t="str">
        <f>Akun!B43</f>
        <v>Biaya learning kit</v>
      </c>
      <c r="D33" s="239" t="str">
        <f>Akun!C43</f>
        <v>Biaya Kegiatan</v>
      </c>
      <c r="E33" s="124">
        <f>Rekap!I44</f>
        <v>0</v>
      </c>
    </row>
    <row r="34" spans="2:5">
      <c r="B34" s="130" t="s">
        <v>48</v>
      </c>
      <c r="C34" s="239" t="str">
        <f>Akun!B44</f>
        <v>Biaya sarana dan prasarana</v>
      </c>
      <c r="D34" s="239" t="str">
        <f>Akun!C44</f>
        <v>Biaya Gedung</v>
      </c>
      <c r="E34" s="124">
        <f>Rekap!I45</f>
        <v>0</v>
      </c>
    </row>
    <row r="35" spans="2:5">
      <c r="B35" s="130" t="s">
        <v>170</v>
      </c>
      <c r="C35" s="239" t="str">
        <f>Akun!B45</f>
        <v>Biaya sewa</v>
      </c>
      <c r="D35" s="239" t="str">
        <f>Akun!C45</f>
        <v>Biaya Kegiatan</v>
      </c>
      <c r="E35" s="124">
        <f>Rekap!I46</f>
        <v>0</v>
      </c>
    </row>
    <row r="36" spans="2:5">
      <c r="B36" s="130" t="s">
        <v>201</v>
      </c>
      <c r="C36" s="239" t="str">
        <f>Akun!B46</f>
        <v>Biaya Kunjungan Dinas</v>
      </c>
      <c r="D36" s="239" t="str">
        <f>Akun!C46</f>
        <v>Biaya Kegiatan</v>
      </c>
      <c r="E36" s="124">
        <f>Rekap!I47</f>
        <v>0</v>
      </c>
    </row>
    <row r="37" spans="2:5">
      <c r="B37" s="130" t="s">
        <v>202</v>
      </c>
      <c r="C37" s="239" t="str">
        <f>Akun!B47</f>
        <v>Biaya owner</v>
      </c>
      <c r="D37" s="239" t="str">
        <f>Akun!C47</f>
        <v>Biaya Gedung</v>
      </c>
      <c r="E37" s="124">
        <f>Rekap!I48</f>
        <v>0</v>
      </c>
    </row>
    <row r="38" spans="2:5">
      <c r="B38" s="130" t="s">
        <v>203</v>
      </c>
      <c r="C38" s="239" t="str">
        <f>Akun!B48</f>
        <v>Biaya Seragam Siswa dan SDM</v>
      </c>
      <c r="D38" s="239" t="str">
        <f>Akun!C48</f>
        <v>Biaya Seragam</v>
      </c>
      <c r="E38" s="124">
        <f>Rekap!I49</f>
        <v>0</v>
      </c>
    </row>
    <row r="39" spans="2:5">
      <c r="B39" s="130" t="s">
        <v>204</v>
      </c>
      <c r="C39" s="239" t="str">
        <f>Akun!B49</f>
        <v>Biaya ATK Siswa</v>
      </c>
      <c r="D39" s="239" t="str">
        <f>Akun!C49</f>
        <v>Biaya ATK</v>
      </c>
      <c r="E39" s="124">
        <f>Rekap!I50</f>
        <v>0</v>
      </c>
    </row>
    <row r="40" spans="2:5">
      <c r="B40" s="130" t="s">
        <v>224</v>
      </c>
      <c r="C40" s="239" t="str">
        <f>Akun!B50</f>
        <v xml:space="preserve">Pajak </v>
      </c>
      <c r="D40" s="239" t="str">
        <f>Akun!C50</f>
        <v>Biaya Gedung</v>
      </c>
      <c r="E40" s="124">
        <f>Rekap!I51</f>
        <v>0</v>
      </c>
    </row>
    <row r="41" spans="2:5">
      <c r="B41" s="127" t="s">
        <v>0</v>
      </c>
      <c r="C41" s="128" t="s">
        <v>49</v>
      </c>
      <c r="D41" s="237"/>
      <c r="E41" s="129">
        <f>SUM(E18:E40)</f>
        <v>0</v>
      </c>
    </row>
    <row r="42" spans="2:5">
      <c r="B42" s="127"/>
      <c r="C42" s="128"/>
      <c r="D42" s="237"/>
      <c r="E42" s="129"/>
    </row>
    <row r="43" spans="2:5">
      <c r="B43" s="127" t="s">
        <v>0</v>
      </c>
      <c r="C43" s="128" t="s">
        <v>50</v>
      </c>
      <c r="D43" s="237"/>
      <c r="E43" s="129">
        <f>+E15-E41</f>
        <v>0</v>
      </c>
    </row>
  </sheetData>
  <printOptions horizontalCentered="1"/>
  <pageMargins left="0.51181102362204722" right="0.51181102362204722" top="0.94488188976377963" bottom="0.74803149606299213" header="0.31496062992125984" footer="0.31496062992125984"/>
  <pageSetup paperSize="9" scale="95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Q40"/>
  <sheetViews>
    <sheetView showGridLines="0" view="pageBreakPreview" topLeftCell="A4" zoomScale="90" zoomScaleSheetLayoutView="90" workbookViewId="0">
      <selection activeCell="E21" sqref="E21"/>
    </sheetView>
  </sheetViews>
  <sheetFormatPr defaultRowHeight="15"/>
  <cols>
    <col min="1" max="3" width="9.140625" style="20"/>
    <col min="4" max="4" width="23.5703125" style="20" customWidth="1"/>
    <col min="5" max="5" width="19.7109375" style="20" customWidth="1"/>
    <col min="6" max="7" width="9.140625" style="20"/>
    <col min="8" max="8" width="33.7109375" style="20" customWidth="1"/>
    <col min="9" max="9" width="13.42578125" style="20" bestFit="1" customWidth="1"/>
    <col min="10" max="11" width="9.140625" style="20"/>
    <col min="12" max="12" width="15.7109375" style="20" customWidth="1"/>
    <col min="13" max="13" width="14.28515625" style="20" customWidth="1"/>
    <col min="14" max="14" width="13.5703125" style="20" customWidth="1"/>
    <col min="15" max="15" width="12.5703125" style="20" bestFit="1" customWidth="1"/>
    <col min="16" max="16" width="9.140625" style="20"/>
    <col min="17" max="17" width="12.5703125" style="20" bestFit="1" customWidth="1"/>
    <col min="18" max="16384" width="9.140625" style="20"/>
  </cols>
  <sheetData>
    <row r="2" spans="2:17">
      <c r="B2" s="17"/>
      <c r="C2" s="18"/>
      <c r="D2" s="18"/>
      <c r="E2" s="18"/>
      <c r="F2" s="18"/>
      <c r="G2" s="18"/>
      <c r="H2" s="18"/>
      <c r="I2" s="18"/>
      <c r="J2" s="19"/>
    </row>
    <row r="3" spans="2:17" ht="15.75" customHeight="1">
      <c r="B3" s="411" t="str">
        <f>Cashflow!A2</f>
        <v>AL MADEENA ISLAMIC SCHOOL TAHUN AJARAN 2021 - 2022</v>
      </c>
      <c r="C3" s="412"/>
      <c r="D3" s="412"/>
      <c r="E3" s="412"/>
      <c r="F3" s="412"/>
      <c r="G3" s="412"/>
      <c r="H3" s="412"/>
      <c r="I3" s="412"/>
      <c r="J3" s="413"/>
    </row>
    <row r="4" spans="2:17" ht="15.75" customHeight="1">
      <c r="B4" s="411" t="s">
        <v>3</v>
      </c>
      <c r="C4" s="412"/>
      <c r="D4" s="412"/>
      <c r="E4" s="412"/>
      <c r="F4" s="412"/>
      <c r="G4" s="412"/>
      <c r="H4" s="412"/>
      <c r="I4" s="412"/>
      <c r="J4" s="413"/>
    </row>
    <row r="5" spans="2:17" ht="15.75" customHeight="1">
      <c r="B5" s="411" t="str">
        <f>"PERIODE "&amp;Cover!$N$3&amp;" "&amp;Cover!$O$3</f>
        <v>PERIODE JULI 2021</v>
      </c>
      <c r="C5" s="412"/>
      <c r="D5" s="412"/>
      <c r="E5" s="412"/>
      <c r="F5" s="412"/>
      <c r="G5" s="412"/>
      <c r="H5" s="412"/>
      <c r="I5" s="412"/>
      <c r="J5" s="413"/>
    </row>
    <row r="6" spans="2:17">
      <c r="B6" s="24"/>
      <c r="C6" s="25"/>
      <c r="D6" s="25"/>
      <c r="E6" s="25"/>
      <c r="F6" s="25"/>
      <c r="G6" s="25"/>
      <c r="H6" s="25"/>
      <c r="I6" s="25"/>
      <c r="J6" s="26"/>
    </row>
    <row r="7" spans="2:17">
      <c r="B7" s="21"/>
      <c r="C7" s="27"/>
      <c r="D7" s="27"/>
      <c r="E7" s="27"/>
      <c r="F7" s="27"/>
      <c r="G7" s="27"/>
      <c r="H7" s="27"/>
      <c r="I7" s="27"/>
      <c r="J7" s="23"/>
    </row>
    <row r="8" spans="2:17">
      <c r="B8" s="21"/>
      <c r="C8" s="28" t="s">
        <v>4</v>
      </c>
      <c r="D8" s="27"/>
      <c r="E8" s="27"/>
      <c r="F8" s="29"/>
      <c r="G8" s="27"/>
      <c r="H8" s="28" t="s">
        <v>5</v>
      </c>
      <c r="I8" s="27"/>
      <c r="J8" s="23"/>
    </row>
    <row r="9" spans="2:17" ht="15.75">
      <c r="B9" s="21"/>
      <c r="C9" s="27" t="str">
        <f>Akun!B2</f>
        <v>Kas</v>
      </c>
      <c r="D9" s="27"/>
      <c r="E9" s="30">
        <f>Rekap!K3</f>
        <v>0</v>
      </c>
      <c r="F9" s="31"/>
      <c r="G9" s="27"/>
      <c r="H9" s="27" t="str">
        <f>Akun!B13</f>
        <v>Hutang Usaha</v>
      </c>
      <c r="I9" s="30">
        <f>Rekap!L14</f>
        <v>0</v>
      </c>
      <c r="J9" s="23"/>
      <c r="L9" s="32"/>
      <c r="M9" s="410"/>
      <c r="N9" s="410"/>
      <c r="O9" s="410"/>
    </row>
    <row r="10" spans="2:17" ht="15.75">
      <c r="B10" s="21"/>
      <c r="C10" s="27" t="str">
        <f>Akun!B3</f>
        <v>Bank</v>
      </c>
      <c r="D10" s="27"/>
      <c r="E10" s="301">
        <f>Rekap!K4</f>
        <v>0</v>
      </c>
      <c r="F10" s="31"/>
      <c r="G10" s="27"/>
      <c r="H10" s="27" t="str">
        <f>Akun!B14</f>
        <v>Hutang Lancar</v>
      </c>
      <c r="I10" s="30">
        <f>Rekap!L15</f>
        <v>0</v>
      </c>
      <c r="J10" s="23"/>
      <c r="L10" s="33"/>
      <c r="M10" s="52"/>
      <c r="N10" s="53"/>
      <c r="O10" s="54"/>
    </row>
    <row r="11" spans="2:17" ht="18">
      <c r="B11" s="21"/>
      <c r="C11" s="27" t="str">
        <f>Akun!B4</f>
        <v>Piutang Siswa</v>
      </c>
      <c r="D11" s="27"/>
      <c r="E11" s="30">
        <f>Rekap!K5</f>
        <v>0</v>
      </c>
      <c r="F11" s="31"/>
      <c r="G11" s="27"/>
      <c r="H11" s="27"/>
      <c r="I11" s="30"/>
      <c r="J11" s="23"/>
      <c r="M11" s="52"/>
      <c r="N11" s="53"/>
      <c r="O11" s="55"/>
    </row>
    <row r="12" spans="2:17" ht="15.75">
      <c r="B12" s="21"/>
      <c r="C12" s="27" t="str">
        <f>Akun!B5</f>
        <v>Piutang Lain-Lain</v>
      </c>
      <c r="D12" s="27"/>
      <c r="E12" s="30">
        <f>Rekap!K6</f>
        <v>0</v>
      </c>
      <c r="F12" s="31"/>
      <c r="G12" s="27"/>
      <c r="H12" s="27"/>
      <c r="I12" s="30"/>
      <c r="J12" s="23"/>
      <c r="M12" s="52"/>
      <c r="N12" s="53"/>
      <c r="O12" s="56"/>
    </row>
    <row r="13" spans="2:17" ht="15.75">
      <c r="B13" s="21"/>
      <c r="C13" s="27" t="str">
        <f>Akun!B6</f>
        <v>Piutang Periode Sebelumnya</v>
      </c>
      <c r="D13" s="27"/>
      <c r="E13" s="30">
        <f>Rekap!K7</f>
        <v>0</v>
      </c>
      <c r="F13" s="31"/>
      <c r="G13" s="27"/>
      <c r="H13" s="27"/>
      <c r="I13" s="30"/>
      <c r="J13" s="23"/>
      <c r="M13" s="52"/>
      <c r="N13" s="53"/>
      <c r="O13" s="56"/>
    </row>
    <row r="14" spans="2:17" ht="15.75">
      <c r="B14" s="21"/>
      <c r="C14" s="27" t="str">
        <f>Akun!B7</f>
        <v>Biaya Dibayar Dimuka</v>
      </c>
      <c r="D14" s="27"/>
      <c r="E14" s="30">
        <f>Rekap!K8</f>
        <v>0</v>
      </c>
      <c r="F14" s="31"/>
      <c r="G14" s="27"/>
      <c r="H14" s="27"/>
      <c r="I14" s="30"/>
      <c r="J14" s="23"/>
      <c r="M14" s="52"/>
      <c r="N14" s="53"/>
      <c r="O14" s="56"/>
    </row>
    <row r="15" spans="2:17">
      <c r="B15" s="21"/>
      <c r="C15" s="27"/>
      <c r="D15" s="27"/>
      <c r="E15" s="30">
        <f>Rekap!K9</f>
        <v>0</v>
      </c>
      <c r="F15" s="31"/>
      <c r="G15" s="27"/>
      <c r="H15" s="27"/>
      <c r="I15" s="30"/>
      <c r="J15" s="23"/>
      <c r="L15" s="33"/>
      <c r="M15" s="32"/>
      <c r="N15" s="32"/>
      <c r="O15" s="32"/>
      <c r="Q15" s="32"/>
    </row>
    <row r="16" spans="2:17">
      <c r="B16" s="21"/>
      <c r="C16" s="28" t="s">
        <v>10</v>
      </c>
      <c r="D16" s="27"/>
      <c r="E16" s="34">
        <f>SUM(E9:E14)</f>
        <v>0</v>
      </c>
      <c r="F16" s="31"/>
      <c r="G16" s="27"/>
      <c r="H16" s="28" t="s">
        <v>11</v>
      </c>
      <c r="I16" s="34">
        <f>SUM(I9:I15)</f>
        <v>0</v>
      </c>
      <c r="J16" s="23"/>
      <c r="L16" s="33"/>
      <c r="N16" s="32"/>
    </row>
    <row r="17" spans="2:14">
      <c r="B17" s="21"/>
      <c r="C17" s="27"/>
      <c r="D17" s="27"/>
      <c r="E17" s="30"/>
      <c r="F17" s="31"/>
      <c r="G17" s="27"/>
      <c r="H17" s="27"/>
      <c r="I17" s="30"/>
      <c r="J17" s="23"/>
      <c r="L17" s="33"/>
      <c r="M17" s="32"/>
    </row>
    <row r="18" spans="2:14">
      <c r="B18" s="21"/>
      <c r="C18" s="28" t="s">
        <v>12</v>
      </c>
      <c r="D18" s="27"/>
      <c r="E18" s="30"/>
      <c r="F18" s="31"/>
      <c r="G18" s="27"/>
      <c r="H18" s="28" t="s">
        <v>13</v>
      </c>
      <c r="I18" s="30"/>
      <c r="J18" s="23"/>
      <c r="L18" s="33"/>
    </row>
    <row r="19" spans="2:14">
      <c r="B19" s="21"/>
      <c r="C19" s="27" t="str">
        <f>Akun!B8</f>
        <v>Tanah</v>
      </c>
      <c r="D19" s="27"/>
      <c r="E19" s="30">
        <f>Rekap!K9</f>
        <v>0</v>
      </c>
      <c r="F19" s="31"/>
      <c r="G19" s="27"/>
      <c r="H19" s="27" t="str">
        <f>Akun!B15</f>
        <v>Setoran Modal Pemilik</v>
      </c>
      <c r="I19" s="30">
        <f>Rekap!L16</f>
        <v>0</v>
      </c>
      <c r="J19" s="23"/>
      <c r="L19" s="33"/>
      <c r="M19" s="33"/>
    </row>
    <row r="20" spans="2:14">
      <c r="B20" s="21"/>
      <c r="C20" s="27" t="str">
        <f>Akun!B9</f>
        <v>Gedung</v>
      </c>
      <c r="D20" s="27"/>
      <c r="E20" s="30">
        <f>Rekap!K10</f>
        <v>0</v>
      </c>
      <c r="F20" s="31"/>
      <c r="G20" s="27"/>
      <c r="H20" s="27" t="str">
        <f>Akun!B16</f>
        <v>Modal Awal</v>
      </c>
      <c r="I20" s="30">
        <f>Rekap!L17</f>
        <v>0</v>
      </c>
      <c r="J20" s="23"/>
      <c r="M20" s="33"/>
    </row>
    <row r="21" spans="2:14">
      <c r="B21" s="21"/>
      <c r="C21" s="27" t="str">
        <f>Akun!B10</f>
        <v>Kendaraan</v>
      </c>
      <c r="D21" s="27"/>
      <c r="E21" s="30">
        <f>Rekap!K11</f>
        <v>0</v>
      </c>
      <c r="F21" s="31"/>
      <c r="G21" s="27"/>
      <c r="H21" s="27" t="str">
        <f>Akun!B17</f>
        <v>Laba (Rugi) Periode Sebelumnya</v>
      </c>
      <c r="I21" s="30">
        <f>Rekap!L18</f>
        <v>0</v>
      </c>
      <c r="J21" s="23"/>
      <c r="M21" s="33"/>
    </row>
    <row r="22" spans="2:14">
      <c r="B22" s="21"/>
      <c r="C22" s="27" t="str">
        <f>Akun!B11</f>
        <v>Peralatan Kantor</v>
      </c>
      <c r="D22" s="27"/>
      <c r="E22" s="30">
        <f>Rekap!K12</f>
        <v>0</v>
      </c>
      <c r="F22" s="31"/>
      <c r="G22" s="27"/>
      <c r="H22" s="27" t="str">
        <f>Akun!B18</f>
        <v>Laba (Rugi) Periode Berjalan</v>
      </c>
      <c r="I22" s="30">
        <f>'Laba Rugi'!E43</f>
        <v>0</v>
      </c>
      <c r="J22" s="23"/>
      <c r="L22" s="33"/>
      <c r="M22" s="32"/>
    </row>
    <row r="23" spans="2:14">
      <c r="B23" s="21"/>
      <c r="C23" s="27" t="str">
        <f>Akun!B12</f>
        <v>Akumulasi Penyusutan Aktifa Tetap</v>
      </c>
      <c r="D23" s="27"/>
      <c r="E23" s="30">
        <f>Rekap!K13</f>
        <v>0</v>
      </c>
      <c r="F23" s="31"/>
      <c r="G23" s="27"/>
      <c r="H23" s="27" t="str">
        <f>Akun!B19</f>
        <v>Prive</v>
      </c>
      <c r="I23" s="30">
        <f>Rekap!L20</f>
        <v>0</v>
      </c>
      <c r="J23" s="23"/>
      <c r="M23" s="32"/>
    </row>
    <row r="24" spans="2:14">
      <c r="B24" s="21"/>
      <c r="C24" s="27"/>
      <c r="D24" s="27"/>
      <c r="E24" s="30"/>
      <c r="F24" s="31"/>
      <c r="G24" s="27"/>
      <c r="J24" s="23"/>
    </row>
    <row r="25" spans="2:14">
      <c r="B25" s="21"/>
      <c r="C25" s="27"/>
      <c r="D25" s="27"/>
      <c r="E25" s="30"/>
      <c r="F25" s="31"/>
      <c r="G25" s="27"/>
      <c r="J25" s="23"/>
    </row>
    <row r="26" spans="2:14">
      <c r="B26" s="21"/>
      <c r="C26" s="28" t="s">
        <v>20</v>
      </c>
      <c r="D26" s="27"/>
      <c r="E26" s="34">
        <f>SUM(E19:E24)</f>
        <v>0</v>
      </c>
      <c r="F26" s="31"/>
      <c r="G26" s="27"/>
      <c r="H26" s="28" t="s">
        <v>21</v>
      </c>
      <c r="I26" s="34">
        <f>SUM(I19:I23)</f>
        <v>0</v>
      </c>
      <c r="J26" s="23"/>
    </row>
    <row r="27" spans="2:14">
      <c r="B27" s="21"/>
      <c r="C27" s="28"/>
      <c r="D27" s="27"/>
      <c r="E27" s="30"/>
      <c r="F27" s="30"/>
      <c r="G27" s="27"/>
      <c r="H27" s="27"/>
      <c r="I27" s="30"/>
      <c r="J27" s="23"/>
    </row>
    <row r="28" spans="2:14">
      <c r="B28" s="21"/>
      <c r="C28" s="28"/>
      <c r="D28" s="27"/>
      <c r="E28" s="30"/>
      <c r="F28" s="30"/>
      <c r="G28" s="27"/>
      <c r="H28" s="27"/>
      <c r="I28" s="30"/>
      <c r="J28" s="23"/>
    </row>
    <row r="29" spans="2:14" ht="15.75" thickBot="1">
      <c r="B29" s="21"/>
      <c r="C29" s="27"/>
      <c r="D29" s="27"/>
      <c r="E29" s="27"/>
      <c r="F29" s="27"/>
      <c r="G29" s="27"/>
      <c r="H29" s="27"/>
      <c r="I29" s="27"/>
      <c r="J29" s="23"/>
      <c r="L29" s="35" t="s">
        <v>84</v>
      </c>
    </row>
    <row r="30" spans="2:14" ht="16.5" thickTop="1" thickBot="1">
      <c r="B30" s="36"/>
      <c r="C30" s="28" t="s">
        <v>22</v>
      </c>
      <c r="D30" s="28"/>
      <c r="E30" s="37">
        <f>+E16+E26</f>
        <v>0</v>
      </c>
      <c r="F30" s="38"/>
      <c r="G30" s="28"/>
      <c r="H30" s="28" t="s">
        <v>23</v>
      </c>
      <c r="I30" s="37">
        <f>+I16+I26</f>
        <v>0</v>
      </c>
      <c r="J30" s="39"/>
      <c r="L30" s="40"/>
      <c r="N30" s="40">
        <f>E30-I30</f>
        <v>0</v>
      </c>
    </row>
    <row r="31" spans="2:14" ht="15.75" thickTop="1">
      <c r="B31" s="24"/>
      <c r="C31" s="25"/>
      <c r="D31" s="25"/>
      <c r="E31" s="25"/>
      <c r="F31" s="25"/>
      <c r="G31" s="25"/>
      <c r="H31" s="25"/>
      <c r="I31" s="25"/>
      <c r="J31" s="26"/>
      <c r="L31" s="32"/>
    </row>
    <row r="32" spans="2:14">
      <c r="L32" s="33"/>
    </row>
    <row r="33" spans="2:12">
      <c r="B33" s="41"/>
      <c r="C33" s="41"/>
      <c r="D33" s="41"/>
      <c r="E33" s="41"/>
      <c r="F33" s="41"/>
      <c r="G33" s="41"/>
      <c r="H33" s="417" t="s">
        <v>180</v>
      </c>
      <c r="I33" s="417"/>
      <c r="J33" s="41"/>
      <c r="L33" s="42"/>
    </row>
    <row r="34" spans="2:12">
      <c r="B34" s="41"/>
      <c r="C34" s="43" t="s">
        <v>24</v>
      </c>
      <c r="D34" s="41"/>
      <c r="E34" s="41"/>
      <c r="F34" s="41"/>
      <c r="G34" s="41"/>
      <c r="H34" s="416" t="s">
        <v>128</v>
      </c>
      <c r="I34" s="416"/>
      <c r="J34" s="41"/>
    </row>
    <row r="35" spans="2:12">
      <c r="B35" s="41"/>
      <c r="C35" s="43"/>
      <c r="D35" s="41"/>
      <c r="E35" s="41"/>
      <c r="F35" s="41"/>
      <c r="G35" s="41"/>
      <c r="H35" s="41"/>
      <c r="I35" s="44"/>
      <c r="J35" s="41"/>
      <c r="L35" s="45"/>
    </row>
    <row r="36" spans="2:12">
      <c r="B36" s="41"/>
      <c r="C36" s="43"/>
      <c r="D36" s="41"/>
      <c r="E36" s="41"/>
      <c r="F36" s="41"/>
      <c r="G36" s="41"/>
      <c r="H36" s="41"/>
      <c r="I36" s="44"/>
      <c r="J36" s="41"/>
    </row>
    <row r="37" spans="2:12">
      <c r="B37" s="41"/>
      <c r="C37" s="43"/>
      <c r="D37" s="41"/>
      <c r="E37" s="41"/>
      <c r="F37" s="41"/>
      <c r="G37" s="41"/>
      <c r="H37" s="41"/>
      <c r="I37" s="41"/>
      <c r="J37" s="41"/>
      <c r="L37" s="45"/>
    </row>
    <row r="38" spans="2:12">
      <c r="B38" s="41"/>
      <c r="C38" s="41"/>
      <c r="D38" s="41"/>
      <c r="E38" s="41"/>
      <c r="F38" s="41"/>
      <c r="G38" s="41"/>
      <c r="H38" s="41"/>
      <c r="I38" s="41"/>
      <c r="J38" s="41"/>
      <c r="L38" s="46"/>
    </row>
    <row r="39" spans="2:12">
      <c r="B39" s="41"/>
      <c r="C39" s="47" t="str">
        <f>'Rekap Siswa'!B19</f>
        <v>MURDIYONO</v>
      </c>
      <c r="D39" s="41"/>
      <c r="E39" s="41"/>
      <c r="F39" s="41"/>
      <c r="G39" s="41"/>
      <c r="H39" s="415" t="str">
        <f>'Rekap Siswa'!F19</f>
        <v>ANITA MERLINA</v>
      </c>
      <c r="I39" s="415"/>
      <c r="J39" s="41"/>
    </row>
    <row r="40" spans="2:12">
      <c r="C40" s="43" t="s">
        <v>83</v>
      </c>
      <c r="H40" s="414" t="s">
        <v>152</v>
      </c>
      <c r="I40" s="414"/>
    </row>
  </sheetData>
  <mergeCells count="8">
    <mergeCell ref="M9:O9"/>
    <mergeCell ref="B3:J3"/>
    <mergeCell ref="B4:J4"/>
    <mergeCell ref="B5:J5"/>
    <mergeCell ref="H40:I40"/>
    <mergeCell ref="H39:I39"/>
    <mergeCell ref="H34:I34"/>
    <mergeCell ref="H33:I33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1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N723"/>
  <sheetViews>
    <sheetView showGridLines="0" view="pageBreakPreview" topLeftCell="A4" zoomScale="85" zoomScaleSheetLayoutView="85" workbookViewId="0">
      <selection activeCell="C21" sqref="C21"/>
    </sheetView>
  </sheetViews>
  <sheetFormatPr defaultRowHeight="14.25"/>
  <cols>
    <col min="1" max="1" width="9.28515625" style="258" customWidth="1"/>
    <col min="2" max="2" width="41.140625" style="50" customWidth="1"/>
    <col min="3" max="3" width="42.42578125" style="50" customWidth="1"/>
    <col min="4" max="4" width="10.140625" style="116" customWidth="1"/>
    <col min="5" max="6" width="12.85546875" style="51" bestFit="1" customWidth="1"/>
    <col min="7" max="7" width="12.85546875" style="50" bestFit="1" customWidth="1"/>
    <col min="8" max="8" width="16.5703125" style="83" customWidth="1"/>
    <col min="9" max="9" width="0" style="49" hidden="1" customWidth="1"/>
    <col min="10" max="13" width="9.140625" style="49"/>
    <col min="14" max="14" width="17" style="49" customWidth="1"/>
    <col min="15" max="16384" width="9.140625" style="49"/>
  </cols>
  <sheetData>
    <row r="1" spans="1:9" ht="15">
      <c r="A1" s="250" t="s">
        <v>51</v>
      </c>
      <c r="B1" s="145"/>
      <c r="C1" s="145"/>
      <c r="D1" s="145"/>
      <c r="E1" s="319"/>
      <c r="F1" s="145"/>
      <c r="G1" s="145"/>
    </row>
    <row r="2" spans="1:9" ht="15">
      <c r="A2" s="250" t="str">
        <f>'Data Siswa'!A2:AD2</f>
        <v>AL MADEENA ISLAMIC SCHOOL TAHUN AJARAN 2021 - 2022</v>
      </c>
      <c r="B2" s="145"/>
      <c r="C2" s="145"/>
      <c r="D2" s="145"/>
      <c r="E2" s="319"/>
      <c r="F2" s="145"/>
      <c r="G2" s="145"/>
    </row>
    <row r="3" spans="1:9" ht="15">
      <c r="A3" s="250" t="str">
        <f>'Data Siswa'!A3</f>
        <v>PERIODE JULI 2022</v>
      </c>
      <c r="B3" s="145"/>
      <c r="C3" s="145"/>
      <c r="D3" s="145"/>
      <c r="E3" s="319"/>
      <c r="F3" s="145"/>
      <c r="G3" s="145"/>
    </row>
    <row r="6" spans="1:9" ht="12">
      <c r="A6" s="420" t="s">
        <v>52</v>
      </c>
      <c r="B6" s="418" t="s">
        <v>53</v>
      </c>
      <c r="C6" s="418" t="s">
        <v>54</v>
      </c>
      <c r="D6" s="422" t="s">
        <v>60</v>
      </c>
      <c r="E6" s="424" t="s">
        <v>55</v>
      </c>
      <c r="F6" s="424" t="s">
        <v>56</v>
      </c>
      <c r="G6" s="418" t="s">
        <v>57</v>
      </c>
    </row>
    <row r="7" spans="1:9" ht="12">
      <c r="A7" s="421"/>
      <c r="B7" s="419"/>
      <c r="C7" s="419"/>
      <c r="D7" s="423"/>
      <c r="E7" s="425"/>
      <c r="F7" s="425"/>
      <c r="G7" s="419"/>
    </row>
    <row r="8" spans="1:9">
      <c r="A8" s="251"/>
      <c r="B8" s="85"/>
      <c r="C8" s="85"/>
      <c r="D8" s="114"/>
      <c r="E8" s="86"/>
      <c r="F8" s="86"/>
      <c r="G8" s="86">
        <v>0</v>
      </c>
      <c r="I8" s="49" t="str">
        <f>Akun!B2</f>
        <v>Kas</v>
      </c>
    </row>
    <row r="9" spans="1:9">
      <c r="A9" s="251"/>
      <c r="B9" s="85"/>
      <c r="C9" s="85"/>
      <c r="D9" s="114"/>
      <c r="E9" s="86"/>
      <c r="F9" s="88"/>
      <c r="G9" s="86" t="str">
        <f>IF(AND(E9="",F9=""),"",(G8+E9)-F9)</f>
        <v/>
      </c>
      <c r="I9" s="49" t="str">
        <f>Akun!B3</f>
        <v>Bank</v>
      </c>
    </row>
    <row r="10" spans="1:9">
      <c r="A10" s="251"/>
      <c r="B10" s="87"/>
      <c r="C10" s="85"/>
      <c r="D10" s="114"/>
      <c r="E10" s="86"/>
      <c r="F10" s="88"/>
      <c r="G10" s="86" t="str">
        <f t="shared" ref="G10:G74" si="0">IF(AND(E10="",F10=""),"",(G9+E10)-F10)</f>
        <v/>
      </c>
      <c r="I10" s="49" t="str">
        <f>Akun!B4</f>
        <v>Piutang Siswa</v>
      </c>
    </row>
    <row r="11" spans="1:9">
      <c r="A11" s="251"/>
      <c r="B11" s="100"/>
      <c r="C11" s="85"/>
      <c r="D11" s="114"/>
      <c r="E11" s="86"/>
      <c r="F11" s="88"/>
      <c r="G11" s="86" t="str">
        <f t="shared" si="0"/>
        <v/>
      </c>
      <c r="I11" s="49" t="str">
        <f>Akun!B5</f>
        <v>Piutang Lain-Lain</v>
      </c>
    </row>
    <row r="12" spans="1:9">
      <c r="A12" s="252"/>
      <c r="B12" s="100"/>
      <c r="C12" s="85"/>
      <c r="D12" s="114"/>
      <c r="E12" s="86"/>
      <c r="F12" s="88"/>
      <c r="G12" s="86" t="str">
        <f t="shared" si="0"/>
        <v/>
      </c>
      <c r="I12" s="49" t="str">
        <f>Akun!B6</f>
        <v>Piutang Periode Sebelumnya</v>
      </c>
    </row>
    <row r="13" spans="1:9">
      <c r="A13" s="252"/>
      <c r="B13" s="100"/>
      <c r="C13" s="85"/>
      <c r="D13" s="114"/>
      <c r="E13" s="86"/>
      <c r="F13" s="88"/>
      <c r="G13" s="86" t="str">
        <f t="shared" si="0"/>
        <v/>
      </c>
      <c r="I13" s="49" t="str">
        <f>Akun!B7</f>
        <v>Biaya Dibayar Dimuka</v>
      </c>
    </row>
    <row r="14" spans="1:9">
      <c r="A14" s="252"/>
      <c r="B14" s="100"/>
      <c r="C14" s="85"/>
      <c r="D14" s="114"/>
      <c r="E14" s="86"/>
      <c r="F14" s="88"/>
      <c r="G14" s="86" t="str">
        <f t="shared" si="0"/>
        <v/>
      </c>
      <c r="I14" s="49" t="str">
        <f>Akun!B8</f>
        <v>Tanah</v>
      </c>
    </row>
    <row r="15" spans="1:9">
      <c r="A15" s="252"/>
      <c r="B15" s="100"/>
      <c r="C15" s="85"/>
      <c r="D15" s="114"/>
      <c r="E15" s="86"/>
      <c r="F15" s="84"/>
      <c r="G15" s="86" t="str">
        <f t="shared" si="0"/>
        <v/>
      </c>
      <c r="I15" s="49" t="str">
        <f>Akun!B9</f>
        <v>Gedung</v>
      </c>
    </row>
    <row r="16" spans="1:9">
      <c r="A16" s="252"/>
      <c r="B16" s="100"/>
      <c r="C16" s="85"/>
      <c r="D16" s="114"/>
      <c r="E16" s="86"/>
      <c r="F16" s="84"/>
      <c r="G16" s="86" t="str">
        <f t="shared" si="0"/>
        <v/>
      </c>
      <c r="I16" s="49" t="str">
        <f>Akun!B10</f>
        <v>Kendaraan</v>
      </c>
    </row>
    <row r="17" spans="1:9">
      <c r="A17" s="252"/>
      <c r="B17" s="100"/>
      <c r="C17" s="85"/>
      <c r="D17" s="114"/>
      <c r="E17" s="86"/>
      <c r="F17" s="84"/>
      <c r="G17" s="86" t="str">
        <f t="shared" si="0"/>
        <v/>
      </c>
      <c r="I17" s="49" t="str">
        <f>Akun!B11</f>
        <v>Peralatan Kantor</v>
      </c>
    </row>
    <row r="18" spans="1:9">
      <c r="A18" s="252"/>
      <c r="B18" s="100"/>
      <c r="C18" s="85"/>
      <c r="D18" s="114"/>
      <c r="E18" s="86"/>
      <c r="F18" s="89"/>
      <c r="G18" s="86" t="str">
        <f t="shared" si="0"/>
        <v/>
      </c>
      <c r="I18" s="49" t="str">
        <f>Akun!B12</f>
        <v>Akumulasi Penyusutan Aktifa Tetap</v>
      </c>
    </row>
    <row r="19" spans="1:9">
      <c r="A19" s="252"/>
      <c r="B19" s="100"/>
      <c r="C19" s="85"/>
      <c r="D19" s="114"/>
      <c r="E19" s="86"/>
      <c r="F19" s="84"/>
      <c r="G19" s="86" t="str">
        <f t="shared" si="0"/>
        <v/>
      </c>
      <c r="I19" s="49" t="str">
        <f>Akun!B13</f>
        <v>Hutang Usaha</v>
      </c>
    </row>
    <row r="20" spans="1:9">
      <c r="A20" s="252"/>
      <c r="B20" s="100"/>
      <c r="C20" s="85"/>
      <c r="D20" s="114"/>
      <c r="E20" s="86"/>
      <c r="F20" s="84"/>
      <c r="G20" s="86" t="str">
        <f t="shared" si="0"/>
        <v/>
      </c>
      <c r="I20" s="49" t="str">
        <f>Akun!B14</f>
        <v>Hutang Lancar</v>
      </c>
    </row>
    <row r="21" spans="1:9">
      <c r="A21" s="252"/>
      <c r="B21" s="100"/>
      <c r="C21" s="85"/>
      <c r="D21" s="114"/>
      <c r="E21" s="86"/>
      <c r="F21" s="84"/>
      <c r="G21" s="86" t="str">
        <f t="shared" si="0"/>
        <v/>
      </c>
      <c r="I21" s="49" t="str">
        <f>Akun!B15</f>
        <v>Setoran Modal Pemilik</v>
      </c>
    </row>
    <row r="22" spans="1:9">
      <c r="A22" s="253"/>
      <c r="B22" s="100"/>
      <c r="C22" s="85"/>
      <c r="D22" s="114"/>
      <c r="E22" s="86"/>
      <c r="F22" s="84"/>
      <c r="G22" s="86" t="str">
        <f t="shared" si="0"/>
        <v/>
      </c>
      <c r="I22" s="49" t="str">
        <f>Akun!B16</f>
        <v>Modal Awal</v>
      </c>
    </row>
    <row r="23" spans="1:9">
      <c r="A23" s="253"/>
      <c r="B23" s="100"/>
      <c r="C23" s="85"/>
      <c r="D23" s="114"/>
      <c r="E23" s="86"/>
      <c r="F23" s="86"/>
      <c r="G23" s="86" t="str">
        <f t="shared" si="0"/>
        <v/>
      </c>
      <c r="I23" s="49" t="str">
        <f>Akun!B17</f>
        <v>Laba (Rugi) Periode Sebelumnya</v>
      </c>
    </row>
    <row r="24" spans="1:9">
      <c r="A24" s="252"/>
      <c r="B24" s="100"/>
      <c r="C24" s="85"/>
      <c r="D24" s="114"/>
      <c r="E24" s="86"/>
      <c r="F24" s="84"/>
      <c r="G24" s="86" t="str">
        <f t="shared" si="0"/>
        <v/>
      </c>
      <c r="I24" s="49" t="str">
        <f>Akun!B18</f>
        <v>Laba (Rugi) Periode Berjalan</v>
      </c>
    </row>
    <row r="25" spans="1:9">
      <c r="A25" s="252"/>
      <c r="B25" s="100"/>
      <c r="C25" s="85"/>
      <c r="D25" s="114"/>
      <c r="E25" s="86"/>
      <c r="F25" s="84"/>
      <c r="G25" s="86" t="str">
        <f t="shared" si="0"/>
        <v/>
      </c>
      <c r="I25" s="49" t="str">
        <f>Akun!B19</f>
        <v>Prive</v>
      </c>
    </row>
    <row r="26" spans="1:9">
      <c r="A26" s="252"/>
      <c r="B26" s="100"/>
      <c r="C26" s="85"/>
      <c r="D26" s="114"/>
      <c r="E26" s="86"/>
      <c r="F26" s="86"/>
      <c r="G26" s="86" t="str">
        <f t="shared" si="0"/>
        <v/>
      </c>
      <c r="I26" s="49" t="str">
        <f>Akun!B20</f>
        <v>Penerimaan Dana Pendaftaran</v>
      </c>
    </row>
    <row r="27" spans="1:9">
      <c r="A27" s="252"/>
      <c r="B27" s="87"/>
      <c r="C27" s="85"/>
      <c r="D27" s="114"/>
      <c r="E27" s="86"/>
      <c r="F27" s="84"/>
      <c r="G27" s="86" t="str">
        <f t="shared" si="0"/>
        <v/>
      </c>
      <c r="I27" s="49" t="str">
        <f>Akun!B21</f>
        <v>Penerimaan Uang Gedung</v>
      </c>
    </row>
    <row r="28" spans="1:9">
      <c r="A28" s="252"/>
      <c r="B28" s="94"/>
      <c r="C28" s="157"/>
      <c r="D28" s="114"/>
      <c r="E28" s="95"/>
      <c r="F28" s="84"/>
      <c r="G28" s="86" t="str">
        <f t="shared" si="0"/>
        <v/>
      </c>
      <c r="I28" s="49" t="str">
        <f>Akun!B22</f>
        <v>Penerimaan Uang Kegiatan</v>
      </c>
    </row>
    <row r="29" spans="1:9" ht="14.25" customHeight="1">
      <c r="A29" s="254"/>
      <c r="B29" s="206"/>
      <c r="C29" s="207"/>
      <c r="D29" s="208"/>
      <c r="E29" s="209"/>
      <c r="F29" s="210"/>
      <c r="G29" s="240" t="str">
        <f t="shared" si="0"/>
        <v/>
      </c>
      <c r="I29" s="49" t="str">
        <f>Akun!B23</f>
        <v>Penerimaan Uang Seragam</v>
      </c>
    </row>
    <row r="30" spans="1:9" ht="14.25" customHeight="1">
      <c r="A30" s="252"/>
      <c r="B30" s="87"/>
      <c r="C30" s="85"/>
      <c r="D30" s="114"/>
      <c r="E30" s="86"/>
      <c r="F30" s="86"/>
      <c r="G30" s="86" t="str">
        <f t="shared" si="0"/>
        <v/>
      </c>
      <c r="I30" s="49" t="str">
        <f>Akun!B24</f>
        <v>Penerimaan Uang ATK</v>
      </c>
    </row>
    <row r="31" spans="1:9">
      <c r="A31" s="252"/>
      <c r="B31" s="87"/>
      <c r="C31" s="85"/>
      <c r="D31" s="114"/>
      <c r="E31" s="86"/>
      <c r="F31" s="84"/>
      <c r="G31" s="86" t="str">
        <f t="shared" si="0"/>
        <v/>
      </c>
      <c r="I31" s="49" t="str">
        <f>Akun!B25</f>
        <v>Penerimaan Uang SPP</v>
      </c>
    </row>
    <row r="32" spans="1:9" ht="14.25" customHeight="1">
      <c r="A32" s="253"/>
      <c r="B32" s="94"/>
      <c r="C32" s="85"/>
      <c r="D32" s="114"/>
      <c r="E32" s="86"/>
      <c r="F32" s="84"/>
      <c r="G32" s="86" t="str">
        <f t="shared" si="0"/>
        <v/>
      </c>
      <c r="I32" s="49" t="str">
        <f>Akun!B26</f>
        <v>Pendapatan Lain-Lain</v>
      </c>
    </row>
    <row r="33" spans="1:9" ht="14.25" customHeight="1">
      <c r="A33" s="253"/>
      <c r="B33" s="94"/>
      <c r="C33" s="85"/>
      <c r="D33" s="114"/>
      <c r="E33" s="86"/>
      <c r="F33" s="84"/>
      <c r="G33" s="86" t="str">
        <f t="shared" si="0"/>
        <v/>
      </c>
      <c r="I33" s="49" t="str">
        <f>Akun!B27</f>
        <v>Penerimaan piutang siswa</v>
      </c>
    </row>
    <row r="34" spans="1:9" ht="14.25" customHeight="1">
      <c r="A34" s="253"/>
      <c r="B34" s="94"/>
      <c r="C34" s="85"/>
      <c r="D34" s="114"/>
      <c r="E34" s="86"/>
      <c r="F34" s="86"/>
      <c r="G34" s="86" t="str">
        <f t="shared" si="0"/>
        <v/>
      </c>
      <c r="I34" s="49" t="str">
        <f>Akun!B28</f>
        <v>Biaya Gaji</v>
      </c>
    </row>
    <row r="35" spans="1:9" ht="14.25" customHeight="1">
      <c r="A35" s="253"/>
      <c r="B35" s="94"/>
      <c r="C35" s="85"/>
      <c r="D35" s="114"/>
      <c r="E35" s="86"/>
      <c r="F35" s="84"/>
      <c r="G35" s="86" t="str">
        <f t="shared" si="0"/>
        <v/>
      </c>
      <c r="I35" s="49" t="str">
        <f>Akun!B29</f>
        <v>Biaya Tunjangan</v>
      </c>
    </row>
    <row r="36" spans="1:9" ht="14.25" customHeight="1">
      <c r="A36" s="253"/>
      <c r="B36" s="94"/>
      <c r="C36" s="85"/>
      <c r="D36" s="114"/>
      <c r="E36" s="86"/>
      <c r="F36" s="86"/>
      <c r="G36" s="86" t="str">
        <f t="shared" si="0"/>
        <v/>
      </c>
      <c r="I36" s="49" t="str">
        <f>Akun!B30</f>
        <v>Biaya ATK Kantor</v>
      </c>
    </row>
    <row r="37" spans="1:9">
      <c r="A37" s="253"/>
      <c r="B37" s="94"/>
      <c r="C37" s="85"/>
      <c r="D37" s="114"/>
      <c r="E37" s="86"/>
      <c r="F37" s="84"/>
      <c r="G37" s="86" t="str">
        <f t="shared" si="0"/>
        <v/>
      </c>
      <c r="I37" s="49" t="str">
        <f>Akun!B31</f>
        <v>Biaya UKS</v>
      </c>
    </row>
    <row r="38" spans="1:9" ht="14.25" customHeight="1">
      <c r="A38" s="253"/>
      <c r="B38" s="94"/>
      <c r="C38" s="85"/>
      <c r="D38" s="114"/>
      <c r="E38" s="86"/>
      <c r="F38" s="86"/>
      <c r="G38" s="86" t="str">
        <f t="shared" si="0"/>
        <v/>
      </c>
      <c r="I38" s="49" t="str">
        <f>Akun!B32</f>
        <v>Biaya Listrik, Internet dan Telepon</v>
      </c>
    </row>
    <row r="39" spans="1:9" ht="14.25" customHeight="1">
      <c r="A39" s="253"/>
      <c r="B39" s="94"/>
      <c r="C39" s="85"/>
      <c r="D39" s="114"/>
      <c r="E39" s="86"/>
      <c r="F39" s="86"/>
      <c r="G39" s="86" t="str">
        <f t="shared" si="0"/>
        <v/>
      </c>
      <c r="I39" s="49" t="str">
        <f>Akun!B33</f>
        <v>Biaya iuran - iuran</v>
      </c>
    </row>
    <row r="40" spans="1:9" ht="14.25" customHeight="1">
      <c r="A40" s="253"/>
      <c r="B40" s="94"/>
      <c r="C40" s="85"/>
      <c r="D40" s="114"/>
      <c r="E40" s="86"/>
      <c r="F40" s="86"/>
      <c r="G40" s="86" t="str">
        <f t="shared" si="0"/>
        <v/>
      </c>
      <c r="I40" s="49" t="str">
        <f>Akun!B34</f>
        <v>Biaya Kebersihan &amp; Kemanan Kantor</v>
      </c>
    </row>
    <row r="41" spans="1:9">
      <c r="A41" s="253"/>
      <c r="B41" s="94"/>
      <c r="C41" s="85"/>
      <c r="D41" s="114"/>
      <c r="E41" s="86"/>
      <c r="F41" s="86"/>
      <c r="G41" s="86" t="str">
        <f t="shared" si="0"/>
        <v/>
      </c>
      <c r="I41" s="49" t="str">
        <f>Akun!B35</f>
        <v>Biaya bahan bakar</v>
      </c>
    </row>
    <row r="42" spans="1:9" ht="14.25" customHeight="1">
      <c r="A42" s="253"/>
      <c r="B42" s="94"/>
      <c r="C42" s="85"/>
      <c r="D42" s="114"/>
      <c r="E42" s="86"/>
      <c r="F42" s="86"/>
      <c r="G42" s="86" t="str">
        <f t="shared" si="0"/>
        <v/>
      </c>
      <c r="I42" s="49" t="str">
        <f>Akun!B36</f>
        <v>Biaya Admin bank</v>
      </c>
    </row>
    <row r="43" spans="1:9" ht="14.25" customHeight="1">
      <c r="A43" s="253"/>
      <c r="B43" s="94"/>
      <c r="C43" s="85"/>
      <c r="D43" s="114"/>
      <c r="E43" s="86"/>
      <c r="F43" s="86"/>
      <c r="G43" s="86" t="str">
        <f t="shared" si="0"/>
        <v/>
      </c>
      <c r="I43" s="49" t="str">
        <f>Akun!B37</f>
        <v>Biaya PPDB</v>
      </c>
    </row>
    <row r="44" spans="1:9" ht="14.25" customHeight="1">
      <c r="A44" s="253"/>
      <c r="B44" s="94"/>
      <c r="C44" s="85"/>
      <c r="D44" s="114"/>
      <c r="E44" s="86"/>
      <c r="F44" s="86"/>
      <c r="G44" s="86" t="str">
        <f t="shared" si="0"/>
        <v/>
      </c>
      <c r="I44" s="49" t="str">
        <f>Akun!B38</f>
        <v>Biaya Konsumsi dan Rumah tangga</v>
      </c>
    </row>
    <row r="45" spans="1:9">
      <c r="A45" s="253"/>
      <c r="B45" s="94"/>
      <c r="C45" s="85"/>
      <c r="D45" s="114"/>
      <c r="E45" s="86"/>
      <c r="F45" s="86"/>
      <c r="G45" s="86" t="str">
        <f t="shared" si="0"/>
        <v/>
      </c>
      <c r="I45" s="49" t="str">
        <f>Akun!B39</f>
        <v xml:space="preserve">Evaluasi Pembelajaran </v>
      </c>
    </row>
    <row r="46" spans="1:9" ht="14.25" customHeight="1">
      <c r="A46" s="221"/>
      <c r="B46" s="222"/>
      <c r="C46" s="207"/>
      <c r="D46" s="208"/>
      <c r="E46" s="209"/>
      <c r="F46" s="209"/>
      <c r="G46" s="240" t="str">
        <f t="shared" si="0"/>
        <v/>
      </c>
      <c r="I46" s="49" t="str">
        <f>Akun!B40</f>
        <v>Biaya Kegiatan Kesiswaan</v>
      </c>
    </row>
    <row r="47" spans="1:9" ht="14.25" customHeight="1">
      <c r="A47" s="252"/>
      <c r="B47" s="87"/>
      <c r="C47" s="85"/>
      <c r="D47" s="114"/>
      <c r="E47" s="86"/>
      <c r="F47" s="86"/>
      <c r="G47" s="86" t="str">
        <f t="shared" si="0"/>
        <v/>
      </c>
      <c r="I47" s="49" t="str">
        <f>Akun!B41</f>
        <v>Biaya Peningkatan SDM</v>
      </c>
    </row>
    <row r="48" spans="1:9">
      <c r="A48" s="253"/>
      <c r="B48" s="94"/>
      <c r="C48" s="85"/>
      <c r="D48" s="114"/>
      <c r="E48" s="86"/>
      <c r="F48" s="86"/>
      <c r="G48" s="86" t="str">
        <f t="shared" si="0"/>
        <v/>
      </c>
      <c r="I48" s="49" t="str">
        <f>Akun!B42</f>
        <v>Biaya Parenting/POMG</v>
      </c>
    </row>
    <row r="49" spans="1:9" ht="14.25" customHeight="1">
      <c r="A49" s="253"/>
      <c r="B49" s="94"/>
      <c r="C49" s="85"/>
      <c r="D49" s="114"/>
      <c r="E49" s="86"/>
      <c r="F49" s="86"/>
      <c r="G49" s="86" t="str">
        <f t="shared" si="0"/>
        <v/>
      </c>
      <c r="I49" s="49" t="str">
        <f>Akun!B43</f>
        <v>Biaya learning kit</v>
      </c>
    </row>
    <row r="50" spans="1:9" ht="14.25" customHeight="1">
      <c r="A50" s="253"/>
      <c r="B50" s="94"/>
      <c r="C50" s="85"/>
      <c r="D50" s="114"/>
      <c r="E50" s="86"/>
      <c r="F50" s="86"/>
      <c r="G50" s="86" t="str">
        <f t="shared" si="0"/>
        <v/>
      </c>
      <c r="I50" s="49" t="str">
        <f>Akun!B44</f>
        <v>Biaya sarana dan prasarana</v>
      </c>
    </row>
    <row r="51" spans="1:9">
      <c r="A51" s="253"/>
      <c r="B51" s="94"/>
      <c r="C51" s="85"/>
      <c r="D51" s="114"/>
      <c r="E51" s="86"/>
      <c r="F51" s="86"/>
      <c r="G51" s="86" t="str">
        <f t="shared" si="0"/>
        <v/>
      </c>
      <c r="I51" s="49" t="str">
        <f>Akun!B45</f>
        <v>Biaya sewa</v>
      </c>
    </row>
    <row r="52" spans="1:9" ht="14.25" customHeight="1">
      <c r="A52" s="253"/>
      <c r="B52" s="94"/>
      <c r="C52" s="85"/>
      <c r="D52" s="114"/>
      <c r="E52" s="86"/>
      <c r="F52" s="86"/>
      <c r="G52" s="86" t="str">
        <f t="shared" si="0"/>
        <v/>
      </c>
      <c r="I52" s="49" t="str">
        <f>Akun!B46</f>
        <v>Biaya Kunjungan Dinas</v>
      </c>
    </row>
    <row r="53" spans="1:9">
      <c r="A53" s="253"/>
      <c r="B53" s="94"/>
      <c r="C53" s="85"/>
      <c r="D53" s="114"/>
      <c r="E53" s="86"/>
      <c r="F53" s="86"/>
      <c r="G53" s="86" t="str">
        <f t="shared" si="0"/>
        <v/>
      </c>
      <c r="I53" s="49" t="str">
        <f>Akun!B47</f>
        <v>Biaya owner</v>
      </c>
    </row>
    <row r="54" spans="1:9" ht="14.25" customHeight="1">
      <c r="A54" s="253"/>
      <c r="B54" s="94"/>
      <c r="C54" s="85"/>
      <c r="D54" s="114"/>
      <c r="E54" s="86"/>
      <c r="F54" s="86"/>
      <c r="G54" s="86" t="str">
        <f t="shared" si="0"/>
        <v/>
      </c>
      <c r="I54" s="49" t="str">
        <f>Akun!B48</f>
        <v>Biaya Seragam Siswa dan SDM</v>
      </c>
    </row>
    <row r="55" spans="1:9" ht="14.25" customHeight="1">
      <c r="A55" s="253"/>
      <c r="B55" s="94"/>
      <c r="C55" s="85"/>
      <c r="D55" s="114"/>
      <c r="E55" s="86"/>
      <c r="F55" s="86"/>
      <c r="G55" s="86" t="str">
        <f t="shared" si="0"/>
        <v/>
      </c>
      <c r="I55" s="49" t="str">
        <f>Akun!B49</f>
        <v>Biaya ATK Siswa</v>
      </c>
    </row>
    <row r="56" spans="1:9" ht="14.25" customHeight="1">
      <c r="A56" s="253"/>
      <c r="B56" s="94"/>
      <c r="C56" s="85"/>
      <c r="D56" s="114"/>
      <c r="E56" s="86"/>
      <c r="F56" s="86"/>
      <c r="G56" s="86" t="str">
        <f t="shared" si="0"/>
        <v/>
      </c>
    </row>
    <row r="57" spans="1:9">
      <c r="A57" s="253"/>
      <c r="B57" s="94"/>
      <c r="C57" s="85"/>
      <c r="D57" s="114"/>
      <c r="E57" s="86"/>
      <c r="F57" s="86"/>
      <c r="G57" s="86" t="str">
        <f t="shared" si="0"/>
        <v/>
      </c>
    </row>
    <row r="58" spans="1:9" ht="14.25" customHeight="1">
      <c r="A58" s="253"/>
      <c r="B58" s="94"/>
      <c r="C58" s="85"/>
      <c r="D58" s="114"/>
      <c r="E58" s="86"/>
      <c r="F58" s="86"/>
      <c r="G58" s="86" t="str">
        <f t="shared" si="0"/>
        <v/>
      </c>
    </row>
    <row r="59" spans="1:9" ht="14.25" customHeight="1">
      <c r="A59" s="253"/>
      <c r="B59" s="94"/>
      <c r="C59" s="85"/>
      <c r="D59" s="114"/>
      <c r="E59" s="86"/>
      <c r="F59" s="86"/>
      <c r="G59" s="86" t="str">
        <f t="shared" si="0"/>
        <v/>
      </c>
    </row>
    <row r="60" spans="1:9">
      <c r="A60" s="253"/>
      <c r="B60" s="94"/>
      <c r="C60" s="85"/>
      <c r="D60" s="114"/>
      <c r="E60" s="86"/>
      <c r="F60" s="86"/>
      <c r="G60" s="86" t="str">
        <f t="shared" si="0"/>
        <v/>
      </c>
    </row>
    <row r="61" spans="1:9" ht="14.25" customHeight="1">
      <c r="A61" s="262"/>
      <c r="B61" s="263"/>
      <c r="C61" s="264"/>
      <c r="D61" s="265"/>
      <c r="E61" s="266"/>
      <c r="F61" s="86"/>
      <c r="G61" s="86" t="str">
        <f t="shared" si="0"/>
        <v/>
      </c>
    </row>
    <row r="62" spans="1:9" ht="14.25" customHeight="1">
      <c r="A62" s="253"/>
      <c r="B62" s="94"/>
      <c r="C62" s="85"/>
      <c r="D62" s="114"/>
      <c r="E62" s="86"/>
      <c r="F62" s="86"/>
      <c r="G62" s="86" t="str">
        <f t="shared" si="0"/>
        <v/>
      </c>
    </row>
    <row r="63" spans="1:9">
      <c r="A63" s="253"/>
      <c r="B63" s="94"/>
      <c r="C63" s="85"/>
      <c r="D63" s="114"/>
      <c r="E63" s="86"/>
      <c r="F63" s="86"/>
      <c r="G63" s="86" t="str">
        <f t="shared" si="0"/>
        <v/>
      </c>
    </row>
    <row r="64" spans="1:9">
      <c r="A64" s="253"/>
      <c r="B64" s="94"/>
      <c r="C64" s="85"/>
      <c r="D64" s="114"/>
      <c r="E64" s="86"/>
      <c r="F64" s="86"/>
      <c r="G64" s="86" t="str">
        <f t="shared" si="0"/>
        <v/>
      </c>
    </row>
    <row r="65" spans="1:7">
      <c r="A65" s="253"/>
      <c r="B65" s="94"/>
      <c r="C65" s="85"/>
      <c r="D65" s="114"/>
      <c r="E65" s="86"/>
      <c r="F65" s="86"/>
      <c r="G65" s="86" t="str">
        <f t="shared" si="0"/>
        <v/>
      </c>
    </row>
    <row r="66" spans="1:7">
      <c r="A66" s="253"/>
      <c r="B66" s="94"/>
      <c r="C66" s="85"/>
      <c r="D66" s="114"/>
      <c r="E66" s="86"/>
      <c r="F66" s="86"/>
      <c r="G66" s="86" t="str">
        <f t="shared" si="0"/>
        <v/>
      </c>
    </row>
    <row r="67" spans="1:7">
      <c r="A67" s="253"/>
      <c r="B67" s="94"/>
      <c r="C67" s="85"/>
      <c r="D67" s="114"/>
      <c r="E67" s="86"/>
      <c r="F67" s="86"/>
      <c r="G67" s="86" t="str">
        <f t="shared" si="0"/>
        <v/>
      </c>
    </row>
    <row r="68" spans="1:7">
      <c r="A68" s="253"/>
      <c r="B68" s="94"/>
      <c r="C68" s="85"/>
      <c r="D68" s="114"/>
      <c r="E68" s="86"/>
      <c r="F68" s="86"/>
      <c r="G68" s="86" t="str">
        <f t="shared" si="0"/>
        <v/>
      </c>
    </row>
    <row r="69" spans="1:7">
      <c r="A69" s="253"/>
      <c r="B69" s="94"/>
      <c r="C69" s="85"/>
      <c r="D69" s="114"/>
      <c r="E69" s="86"/>
      <c r="F69" s="86"/>
      <c r="G69" s="86" t="str">
        <f t="shared" si="0"/>
        <v/>
      </c>
    </row>
    <row r="70" spans="1:7">
      <c r="A70" s="253"/>
      <c r="B70" s="94"/>
      <c r="C70" s="85"/>
      <c r="D70" s="114"/>
      <c r="E70" s="86"/>
      <c r="F70" s="86"/>
      <c r="G70" s="86" t="str">
        <f t="shared" si="0"/>
        <v/>
      </c>
    </row>
    <row r="71" spans="1:7">
      <c r="A71" s="253"/>
      <c r="B71" s="94"/>
      <c r="C71" s="85"/>
      <c r="D71" s="114"/>
      <c r="E71" s="86"/>
      <c r="F71" s="86"/>
      <c r="G71" s="86" t="str">
        <f t="shared" si="0"/>
        <v/>
      </c>
    </row>
    <row r="72" spans="1:7">
      <c r="A72" s="253"/>
      <c r="B72" s="94"/>
      <c r="C72" s="85"/>
      <c r="D72" s="114"/>
      <c r="E72" s="86"/>
      <c r="F72" s="86"/>
      <c r="G72" s="86" t="str">
        <f t="shared" si="0"/>
        <v/>
      </c>
    </row>
    <row r="73" spans="1:7">
      <c r="A73" s="253"/>
      <c r="B73" s="94"/>
      <c r="C73" s="85"/>
      <c r="D73" s="114"/>
      <c r="E73" s="86"/>
      <c r="F73" s="86"/>
      <c r="G73" s="86" t="str">
        <f t="shared" si="0"/>
        <v/>
      </c>
    </row>
    <row r="74" spans="1:7">
      <c r="A74" s="253"/>
      <c r="B74" s="94"/>
      <c r="C74" s="85"/>
      <c r="D74" s="114"/>
      <c r="E74" s="86"/>
      <c r="F74" s="86"/>
      <c r="G74" s="86" t="str">
        <f t="shared" si="0"/>
        <v/>
      </c>
    </row>
    <row r="75" spans="1:7">
      <c r="A75" s="253"/>
      <c r="B75" s="94"/>
      <c r="C75" s="85"/>
      <c r="D75" s="114"/>
      <c r="E75" s="86"/>
      <c r="F75" s="86"/>
      <c r="G75" s="86" t="str">
        <f t="shared" ref="G75:G139" si="1">IF(AND(E75="",F75=""),"",(G74+E75)-F75)</f>
        <v/>
      </c>
    </row>
    <row r="76" spans="1:7">
      <c r="A76" s="253"/>
      <c r="B76" s="94"/>
      <c r="C76" s="85"/>
      <c r="D76" s="114"/>
      <c r="E76" s="86"/>
      <c r="F76" s="86"/>
      <c r="G76" s="86" t="str">
        <f t="shared" si="1"/>
        <v/>
      </c>
    </row>
    <row r="77" spans="1:7">
      <c r="A77" s="253"/>
      <c r="B77" s="94"/>
      <c r="C77" s="85"/>
      <c r="D77" s="114"/>
      <c r="E77" s="86"/>
      <c r="F77" s="86"/>
      <c r="G77" s="86" t="str">
        <f t="shared" si="1"/>
        <v/>
      </c>
    </row>
    <row r="78" spans="1:7">
      <c r="A78" s="253"/>
      <c r="B78" s="94"/>
      <c r="C78" s="85"/>
      <c r="D78" s="114"/>
      <c r="E78" s="86"/>
      <c r="F78" s="86"/>
      <c r="G78" s="86" t="str">
        <f t="shared" si="1"/>
        <v/>
      </c>
    </row>
    <row r="79" spans="1:7">
      <c r="A79" s="253"/>
      <c r="B79" s="94"/>
      <c r="C79" s="85"/>
      <c r="D79" s="114"/>
      <c r="E79" s="86"/>
      <c r="F79" s="86"/>
      <c r="G79" s="86" t="str">
        <f t="shared" si="1"/>
        <v/>
      </c>
    </row>
    <row r="80" spans="1:7">
      <c r="A80" s="253"/>
      <c r="B80" s="228"/>
      <c r="C80" s="85"/>
      <c r="D80" s="114"/>
      <c r="E80" s="86"/>
      <c r="F80" s="86"/>
      <c r="G80" s="86" t="str">
        <f t="shared" si="1"/>
        <v/>
      </c>
    </row>
    <row r="81" spans="1:11">
      <c r="A81" s="253"/>
      <c r="B81" s="94"/>
      <c r="C81" s="85"/>
      <c r="D81" s="114"/>
      <c r="E81" s="86"/>
      <c r="F81" s="86"/>
      <c r="G81" s="86" t="str">
        <f t="shared" si="1"/>
        <v/>
      </c>
    </row>
    <row r="82" spans="1:11">
      <c r="A82" s="253"/>
      <c r="B82" s="94"/>
      <c r="C82" s="85"/>
      <c r="D82" s="114"/>
      <c r="E82" s="86"/>
      <c r="F82" s="86"/>
      <c r="G82" s="86" t="str">
        <f t="shared" si="1"/>
        <v/>
      </c>
    </row>
    <row r="83" spans="1:11">
      <c r="A83" s="253"/>
      <c r="B83" s="94"/>
      <c r="C83" s="85"/>
      <c r="D83" s="114"/>
      <c r="E83" s="86"/>
      <c r="F83" s="86"/>
      <c r="G83" s="86" t="str">
        <f t="shared" si="1"/>
        <v/>
      </c>
    </row>
    <row r="84" spans="1:11">
      <c r="A84" s="253"/>
      <c r="B84" s="94"/>
      <c r="C84" s="85"/>
      <c r="D84" s="114"/>
      <c r="E84" s="86"/>
      <c r="F84" s="86"/>
      <c r="G84" s="86" t="str">
        <f t="shared" si="1"/>
        <v/>
      </c>
    </row>
    <row r="85" spans="1:11">
      <c r="A85" s="253"/>
      <c r="B85" s="87"/>
      <c r="C85" s="85"/>
      <c r="D85" s="114"/>
      <c r="E85" s="89"/>
      <c r="F85" s="89"/>
      <c r="G85" s="86" t="str">
        <f t="shared" si="1"/>
        <v/>
      </c>
    </row>
    <row r="86" spans="1:11">
      <c r="A86" s="253"/>
      <c r="B86" s="87"/>
      <c r="C86" s="85"/>
      <c r="D86" s="114"/>
      <c r="E86" s="86"/>
      <c r="F86" s="86"/>
      <c r="G86" s="86" t="str">
        <f t="shared" si="1"/>
        <v/>
      </c>
    </row>
    <row r="87" spans="1:11">
      <c r="A87" s="253"/>
      <c r="B87" s="94"/>
      <c r="C87" s="85"/>
      <c r="D87" s="114"/>
      <c r="E87" s="86"/>
      <c r="F87" s="86"/>
      <c r="G87" s="86" t="str">
        <f t="shared" si="1"/>
        <v/>
      </c>
      <c r="H87" s="113"/>
    </row>
    <row r="88" spans="1:11">
      <c r="A88" s="253"/>
      <c r="B88" s="94"/>
      <c r="C88" s="85"/>
      <c r="D88" s="114"/>
      <c r="E88" s="86"/>
      <c r="F88" s="86"/>
      <c r="G88" s="86" t="str">
        <f t="shared" si="1"/>
        <v/>
      </c>
    </row>
    <row r="89" spans="1:11">
      <c r="A89" s="253"/>
      <c r="B89" s="94"/>
      <c r="C89" s="85"/>
      <c r="D89" s="114"/>
      <c r="E89" s="86"/>
      <c r="F89" s="86"/>
      <c r="G89" s="86" t="str">
        <f t="shared" si="1"/>
        <v/>
      </c>
    </row>
    <row r="90" spans="1:11">
      <c r="A90" s="253"/>
      <c r="B90" s="94"/>
      <c r="C90" s="85"/>
      <c r="D90" s="114"/>
      <c r="E90" s="86"/>
      <c r="F90" s="86"/>
      <c r="G90" s="243" t="str">
        <f t="shared" si="1"/>
        <v/>
      </c>
      <c r="H90" s="82"/>
      <c r="I90" s="242"/>
      <c r="J90" s="242"/>
    </row>
    <row r="91" spans="1:11">
      <c r="A91" s="253"/>
      <c r="B91" s="94"/>
      <c r="C91" s="85"/>
      <c r="D91" s="114"/>
      <c r="E91" s="86"/>
      <c r="F91" s="86"/>
      <c r="G91" s="243" t="str">
        <f t="shared" si="1"/>
        <v/>
      </c>
      <c r="H91" s="82"/>
      <c r="I91" s="242"/>
      <c r="J91" s="242"/>
    </row>
    <row r="92" spans="1:11">
      <c r="A92" s="253"/>
      <c r="B92" s="94"/>
      <c r="C92" s="85"/>
      <c r="D92" s="114"/>
      <c r="E92" s="86"/>
      <c r="F92" s="86"/>
      <c r="G92" s="243" t="str">
        <f t="shared" si="1"/>
        <v/>
      </c>
      <c r="H92" s="82"/>
      <c r="I92" s="242"/>
      <c r="J92" s="242"/>
      <c r="K92" s="242"/>
    </row>
    <row r="93" spans="1:11">
      <c r="A93" s="252"/>
      <c r="B93" s="94"/>
      <c r="C93" s="85"/>
      <c r="D93" s="114"/>
      <c r="E93" s="95"/>
      <c r="F93" s="95"/>
      <c r="G93" s="243" t="str">
        <f t="shared" si="1"/>
        <v/>
      </c>
      <c r="H93" s="82"/>
      <c r="I93" s="242"/>
      <c r="J93" s="242"/>
      <c r="K93" s="242"/>
    </row>
    <row r="94" spans="1:11" ht="15">
      <c r="A94" s="221"/>
      <c r="B94" s="222"/>
      <c r="C94" s="207"/>
      <c r="D94" s="208"/>
      <c r="E94" s="209"/>
      <c r="F94" s="209"/>
      <c r="G94" s="244" t="str">
        <f t="shared" si="1"/>
        <v/>
      </c>
      <c r="H94" s="82"/>
      <c r="I94" s="242"/>
      <c r="J94" s="242"/>
      <c r="K94" s="242"/>
    </row>
    <row r="95" spans="1:11">
      <c r="A95" s="253"/>
      <c r="B95" s="94"/>
      <c r="C95" s="85"/>
      <c r="D95" s="114"/>
      <c r="E95" s="86"/>
      <c r="F95" s="86"/>
      <c r="G95" s="243" t="str">
        <f t="shared" si="1"/>
        <v/>
      </c>
      <c r="H95" s="245"/>
      <c r="I95" s="242"/>
      <c r="J95" s="242"/>
      <c r="K95" s="242"/>
    </row>
    <row r="96" spans="1:11">
      <c r="A96" s="253"/>
      <c r="B96" s="94"/>
      <c r="C96" s="85"/>
      <c r="D96" s="114"/>
      <c r="E96" s="86"/>
      <c r="F96" s="86"/>
      <c r="G96" s="243" t="str">
        <f t="shared" si="1"/>
        <v/>
      </c>
      <c r="H96" s="246"/>
      <c r="I96" s="242"/>
      <c r="J96" s="242"/>
      <c r="K96" s="242"/>
    </row>
    <row r="97" spans="1:11">
      <c r="A97" s="253"/>
      <c r="B97" s="94"/>
      <c r="C97" s="85"/>
      <c r="D97" s="114"/>
      <c r="E97" s="86"/>
      <c r="F97" s="86"/>
      <c r="G97" s="243" t="str">
        <f t="shared" si="1"/>
        <v/>
      </c>
      <c r="H97" s="246"/>
      <c r="I97" s="242"/>
      <c r="J97" s="242"/>
      <c r="K97" s="242"/>
    </row>
    <row r="98" spans="1:11">
      <c r="A98" s="253"/>
      <c r="B98" s="94"/>
      <c r="C98" s="85"/>
      <c r="D98" s="114"/>
      <c r="E98" s="86"/>
      <c r="F98" s="86"/>
      <c r="G98" s="243" t="str">
        <f t="shared" si="1"/>
        <v/>
      </c>
      <c r="H98" s="245"/>
      <c r="I98" s="242"/>
      <c r="J98" s="242"/>
      <c r="K98" s="242"/>
    </row>
    <row r="99" spans="1:11">
      <c r="A99" s="253"/>
      <c r="B99" s="94"/>
      <c r="C99" s="85"/>
      <c r="D99" s="114"/>
      <c r="E99" s="86"/>
      <c r="F99" s="86"/>
      <c r="G99" s="243" t="str">
        <f t="shared" si="1"/>
        <v/>
      </c>
      <c r="H99" s="245"/>
      <c r="I99" s="242"/>
      <c r="J99" s="242"/>
      <c r="K99" s="242"/>
    </row>
    <row r="100" spans="1:11">
      <c r="A100" s="253"/>
      <c r="B100" s="94"/>
      <c r="C100" s="85"/>
      <c r="D100" s="114"/>
      <c r="E100" s="86"/>
      <c r="F100" s="86"/>
      <c r="G100" s="243" t="str">
        <f t="shared" si="1"/>
        <v/>
      </c>
      <c r="H100" s="246"/>
      <c r="I100" s="242"/>
      <c r="J100" s="242"/>
      <c r="K100" s="242"/>
    </row>
    <row r="101" spans="1:11">
      <c r="A101" s="253"/>
      <c r="B101" s="94"/>
      <c r="C101" s="85"/>
      <c r="D101" s="114"/>
      <c r="E101" s="86"/>
      <c r="F101" s="86"/>
      <c r="G101" s="243" t="str">
        <f t="shared" si="1"/>
        <v/>
      </c>
      <c r="H101" s="246"/>
      <c r="I101" s="242"/>
      <c r="J101" s="242"/>
      <c r="K101" s="242"/>
    </row>
    <row r="102" spans="1:11">
      <c r="A102" s="253"/>
      <c r="B102" s="94"/>
      <c r="C102" s="85"/>
      <c r="D102" s="114"/>
      <c r="E102" s="86"/>
      <c r="F102" s="86"/>
      <c r="G102" s="243" t="str">
        <f t="shared" si="1"/>
        <v/>
      </c>
      <c r="H102" s="245"/>
      <c r="I102" s="242"/>
      <c r="J102" s="242"/>
      <c r="K102" s="242"/>
    </row>
    <row r="103" spans="1:11">
      <c r="A103" s="253"/>
      <c r="B103" s="94"/>
      <c r="C103" s="85"/>
      <c r="D103" s="114"/>
      <c r="E103" s="86"/>
      <c r="F103" s="86"/>
      <c r="G103" s="243" t="str">
        <f t="shared" si="1"/>
        <v/>
      </c>
      <c r="H103" s="245"/>
      <c r="I103" s="242"/>
      <c r="J103" s="242"/>
      <c r="K103" s="242"/>
    </row>
    <row r="104" spans="1:11">
      <c r="A104" s="253"/>
      <c r="B104" s="94"/>
      <c r="C104" s="85"/>
      <c r="D104" s="114"/>
      <c r="E104" s="86"/>
      <c r="F104" s="86"/>
      <c r="G104" s="243" t="str">
        <f t="shared" si="1"/>
        <v/>
      </c>
      <c r="H104" s="245"/>
      <c r="I104" s="242"/>
      <c r="J104" s="242"/>
      <c r="K104" s="242"/>
    </row>
    <row r="105" spans="1:11">
      <c r="A105" s="253"/>
      <c r="B105" s="94"/>
      <c r="C105" s="85"/>
      <c r="D105" s="114"/>
      <c r="E105" s="86"/>
      <c r="F105" s="86"/>
      <c r="G105" s="243" t="str">
        <f t="shared" si="1"/>
        <v/>
      </c>
      <c r="H105" s="245"/>
      <c r="I105" s="242"/>
      <c r="J105" s="242"/>
      <c r="K105" s="242"/>
    </row>
    <row r="106" spans="1:11">
      <c r="A106" s="253"/>
      <c r="B106" s="94"/>
      <c r="C106" s="85"/>
      <c r="D106" s="114"/>
      <c r="E106" s="86"/>
      <c r="F106" s="86"/>
      <c r="G106" s="243" t="str">
        <f t="shared" si="1"/>
        <v/>
      </c>
      <c r="H106" s="245"/>
      <c r="I106" s="242"/>
      <c r="J106" s="242"/>
      <c r="K106" s="242"/>
    </row>
    <row r="107" spans="1:11">
      <c r="A107" s="253"/>
      <c r="B107" s="94"/>
      <c r="C107" s="85"/>
      <c r="D107" s="114"/>
      <c r="E107" s="86"/>
      <c r="F107" s="86"/>
      <c r="G107" s="243" t="str">
        <f t="shared" si="1"/>
        <v/>
      </c>
      <c r="H107" s="245"/>
      <c r="I107" s="242"/>
      <c r="J107" s="242"/>
      <c r="K107" s="242"/>
    </row>
    <row r="108" spans="1:11">
      <c r="A108" s="253"/>
      <c r="B108" s="94"/>
      <c r="C108" s="85"/>
      <c r="D108" s="114"/>
      <c r="E108" s="86"/>
      <c r="F108" s="86"/>
      <c r="G108" s="243" t="str">
        <f t="shared" si="1"/>
        <v/>
      </c>
      <c r="H108" s="245"/>
      <c r="I108" s="242"/>
      <c r="J108" s="242"/>
      <c r="K108" s="242"/>
    </row>
    <row r="109" spans="1:11">
      <c r="A109" s="253"/>
      <c r="B109" s="94"/>
      <c r="C109" s="85"/>
      <c r="D109" s="114"/>
      <c r="E109" s="86"/>
      <c r="F109" s="86"/>
      <c r="G109" s="243" t="str">
        <f t="shared" si="1"/>
        <v/>
      </c>
      <c r="H109" s="245"/>
      <c r="I109" s="242"/>
      <c r="J109" s="242"/>
      <c r="K109" s="242"/>
    </row>
    <row r="110" spans="1:11">
      <c r="A110" s="253"/>
      <c r="B110" s="94"/>
      <c r="C110" s="85"/>
      <c r="D110" s="114"/>
      <c r="E110" s="86"/>
      <c r="F110" s="86"/>
      <c r="G110" s="243" t="str">
        <f t="shared" si="1"/>
        <v/>
      </c>
      <c r="H110" s="245"/>
      <c r="I110" s="242"/>
      <c r="J110" s="242"/>
      <c r="K110" s="242"/>
    </row>
    <row r="111" spans="1:11">
      <c r="A111" s="253"/>
      <c r="B111" s="94"/>
      <c r="C111" s="85"/>
      <c r="D111" s="114"/>
      <c r="E111" s="86"/>
      <c r="F111" s="86"/>
      <c r="G111" s="243" t="str">
        <f t="shared" si="1"/>
        <v/>
      </c>
      <c r="H111" s="245"/>
      <c r="I111" s="242"/>
      <c r="J111" s="242"/>
      <c r="K111" s="242"/>
    </row>
    <row r="112" spans="1:11">
      <c r="A112" s="253"/>
      <c r="B112" s="94"/>
      <c r="C112" s="85"/>
      <c r="D112" s="114"/>
      <c r="E112" s="86"/>
      <c r="F112" s="86"/>
      <c r="G112" s="243" t="str">
        <f t="shared" si="1"/>
        <v/>
      </c>
      <c r="H112" s="245"/>
      <c r="I112" s="242"/>
      <c r="J112" s="242"/>
      <c r="K112" s="242"/>
    </row>
    <row r="113" spans="1:11">
      <c r="A113" s="253"/>
      <c r="B113" s="94"/>
      <c r="C113" s="85"/>
      <c r="D113" s="114"/>
      <c r="E113" s="86"/>
      <c r="F113" s="86"/>
      <c r="G113" s="243" t="str">
        <f t="shared" si="1"/>
        <v/>
      </c>
      <c r="H113" s="246"/>
      <c r="I113" s="242"/>
      <c r="J113" s="242"/>
      <c r="K113" s="242"/>
    </row>
    <row r="114" spans="1:11">
      <c r="A114" s="253"/>
      <c r="B114" s="94"/>
      <c r="C114" s="85"/>
      <c r="D114" s="114"/>
      <c r="E114" s="86"/>
      <c r="F114" s="86"/>
      <c r="G114" s="243" t="str">
        <f t="shared" si="1"/>
        <v/>
      </c>
      <c r="H114" s="246"/>
      <c r="I114" s="242"/>
      <c r="J114" s="242"/>
      <c r="K114" s="242"/>
    </row>
    <row r="115" spans="1:11">
      <c r="A115" s="253"/>
      <c r="B115" s="94"/>
      <c r="C115" s="85"/>
      <c r="D115" s="114"/>
      <c r="E115" s="88"/>
      <c r="F115" s="86"/>
      <c r="G115" s="243" t="str">
        <f t="shared" si="1"/>
        <v/>
      </c>
      <c r="H115" s="245"/>
      <c r="I115" s="242"/>
      <c r="J115" s="242"/>
      <c r="K115" s="242"/>
    </row>
    <row r="116" spans="1:11">
      <c r="A116" s="253"/>
      <c r="B116" s="94"/>
      <c r="C116" s="85"/>
      <c r="D116" s="114"/>
      <c r="E116" s="88"/>
      <c r="F116" s="86"/>
      <c r="G116" s="243" t="str">
        <f t="shared" si="1"/>
        <v/>
      </c>
      <c r="H116" s="245"/>
      <c r="I116" s="242"/>
      <c r="J116" s="242"/>
      <c r="K116" s="242"/>
    </row>
    <row r="117" spans="1:11">
      <c r="A117" s="253"/>
      <c r="B117" s="94"/>
      <c r="C117" s="85"/>
      <c r="D117" s="114"/>
      <c r="E117" s="88"/>
      <c r="F117" s="86"/>
      <c r="G117" s="243" t="str">
        <f t="shared" si="1"/>
        <v/>
      </c>
      <c r="H117" s="246"/>
      <c r="I117" s="242"/>
      <c r="J117" s="242"/>
      <c r="K117" s="242"/>
    </row>
    <row r="118" spans="1:11">
      <c r="A118" s="253"/>
      <c r="B118" s="94"/>
      <c r="C118" s="85"/>
      <c r="D118" s="114"/>
      <c r="E118" s="86"/>
      <c r="F118" s="86"/>
      <c r="G118" s="243" t="str">
        <f t="shared" si="1"/>
        <v/>
      </c>
      <c r="H118" s="246"/>
      <c r="I118" s="242"/>
      <c r="J118" s="242"/>
      <c r="K118" s="242"/>
    </row>
    <row r="119" spans="1:11">
      <c r="A119" s="253"/>
      <c r="B119" s="94"/>
      <c r="C119" s="85"/>
      <c r="D119" s="114"/>
      <c r="E119" s="86"/>
      <c r="F119" s="86"/>
      <c r="G119" s="243" t="str">
        <f t="shared" si="1"/>
        <v/>
      </c>
      <c r="H119" s="245"/>
      <c r="I119" s="242"/>
      <c r="J119" s="242"/>
      <c r="K119" s="242"/>
    </row>
    <row r="120" spans="1:11">
      <c r="A120" s="253"/>
      <c r="B120" s="94"/>
      <c r="C120" s="85"/>
      <c r="D120" s="114"/>
      <c r="E120" s="86"/>
      <c r="F120" s="86"/>
      <c r="G120" s="243" t="str">
        <f t="shared" si="1"/>
        <v/>
      </c>
      <c r="H120" s="245"/>
      <c r="I120" s="242"/>
      <c r="J120" s="242"/>
      <c r="K120" s="242"/>
    </row>
    <row r="121" spans="1:11">
      <c r="A121" s="253"/>
      <c r="B121" s="94"/>
      <c r="C121" s="85"/>
      <c r="D121" s="114"/>
      <c r="E121" s="88"/>
      <c r="F121" s="86"/>
      <c r="G121" s="243" t="str">
        <f t="shared" si="1"/>
        <v/>
      </c>
      <c r="H121" s="245"/>
      <c r="I121" s="242"/>
      <c r="J121" s="242"/>
      <c r="K121" s="242"/>
    </row>
    <row r="122" spans="1:11">
      <c r="A122" s="253"/>
      <c r="B122" s="94"/>
      <c r="C122" s="85"/>
      <c r="D122" s="114"/>
      <c r="E122" s="88"/>
      <c r="F122" s="86"/>
      <c r="G122" s="243" t="str">
        <f t="shared" si="1"/>
        <v/>
      </c>
      <c r="H122" s="245"/>
      <c r="I122" s="242"/>
      <c r="J122" s="242"/>
      <c r="K122" s="242"/>
    </row>
    <row r="123" spans="1:11">
      <c r="A123" s="253"/>
      <c r="B123" s="94"/>
      <c r="C123" s="85"/>
      <c r="D123" s="114"/>
      <c r="E123" s="88"/>
      <c r="F123" s="86"/>
      <c r="G123" s="243" t="str">
        <f t="shared" si="1"/>
        <v/>
      </c>
      <c r="H123" s="245"/>
      <c r="I123" s="242"/>
      <c r="J123" s="242"/>
      <c r="K123" s="242"/>
    </row>
    <row r="124" spans="1:11">
      <c r="A124" s="253"/>
      <c r="B124" s="94"/>
      <c r="C124" s="85"/>
      <c r="D124" s="114"/>
      <c r="E124" s="320"/>
      <c r="F124" s="91"/>
      <c r="G124" s="243" t="str">
        <f t="shared" si="1"/>
        <v/>
      </c>
      <c r="H124" s="245"/>
      <c r="I124" s="242"/>
      <c r="J124" s="242"/>
      <c r="K124" s="242"/>
    </row>
    <row r="125" spans="1:11">
      <c r="A125" s="253"/>
      <c r="B125" s="94"/>
      <c r="C125" s="85"/>
      <c r="D125" s="114"/>
      <c r="E125" s="320"/>
      <c r="F125" s="93"/>
      <c r="G125" s="243" t="str">
        <f t="shared" si="1"/>
        <v/>
      </c>
      <c r="H125" s="245"/>
      <c r="I125" s="242"/>
      <c r="J125" s="242"/>
      <c r="K125" s="242"/>
    </row>
    <row r="126" spans="1:11">
      <c r="A126" s="252"/>
      <c r="B126" s="87"/>
      <c r="C126" s="85"/>
      <c r="D126" s="114"/>
      <c r="E126" s="320"/>
      <c r="F126" s="93"/>
      <c r="G126" s="243" t="str">
        <f t="shared" si="1"/>
        <v/>
      </c>
      <c r="H126" s="245"/>
      <c r="I126" s="242"/>
      <c r="J126" s="242"/>
      <c r="K126" s="242"/>
    </row>
    <row r="127" spans="1:11">
      <c r="A127" s="252"/>
      <c r="B127" s="87"/>
      <c r="C127" s="85"/>
      <c r="D127" s="114"/>
      <c r="E127" s="320"/>
      <c r="F127" s="91"/>
      <c r="G127" s="243" t="str">
        <f t="shared" si="1"/>
        <v/>
      </c>
      <c r="H127" s="245"/>
      <c r="I127" s="242"/>
      <c r="J127" s="242"/>
      <c r="K127" s="242"/>
    </row>
    <row r="128" spans="1:11">
      <c r="A128" s="252"/>
      <c r="B128" s="87"/>
      <c r="C128" s="85"/>
      <c r="D128" s="114"/>
      <c r="E128" s="320"/>
      <c r="F128" s="93"/>
      <c r="G128" s="243" t="str">
        <f t="shared" si="1"/>
        <v/>
      </c>
      <c r="H128" s="245"/>
      <c r="I128" s="242"/>
      <c r="J128" s="242"/>
      <c r="K128" s="242"/>
    </row>
    <row r="129" spans="1:11">
      <c r="A129" s="252"/>
      <c r="B129" s="87"/>
      <c r="C129" s="85"/>
      <c r="D129" s="114"/>
      <c r="E129" s="320"/>
      <c r="F129" s="93"/>
      <c r="G129" s="243" t="str">
        <f t="shared" si="1"/>
        <v/>
      </c>
      <c r="H129" s="245"/>
      <c r="I129" s="242"/>
      <c r="J129" s="242"/>
      <c r="K129" s="242"/>
    </row>
    <row r="130" spans="1:11">
      <c r="A130" s="252"/>
      <c r="B130" s="87"/>
      <c r="C130" s="85"/>
      <c r="D130" s="114"/>
      <c r="E130" s="320"/>
      <c r="F130" s="93"/>
      <c r="G130" s="243" t="str">
        <f t="shared" si="1"/>
        <v/>
      </c>
      <c r="H130" s="245"/>
      <c r="I130" s="242"/>
      <c r="J130" s="242"/>
      <c r="K130" s="242"/>
    </row>
    <row r="131" spans="1:11">
      <c r="A131" s="252"/>
      <c r="B131" s="87"/>
      <c r="C131" s="85"/>
      <c r="D131" s="114"/>
      <c r="E131" s="93"/>
      <c r="F131" s="93"/>
      <c r="G131" s="243" t="str">
        <f t="shared" si="1"/>
        <v/>
      </c>
      <c r="H131" s="246"/>
      <c r="I131" s="242"/>
      <c r="J131" s="242"/>
      <c r="K131" s="242"/>
    </row>
    <row r="132" spans="1:11">
      <c r="A132" s="252"/>
      <c r="B132" s="87"/>
      <c r="C132" s="85"/>
      <c r="D132" s="114"/>
      <c r="E132" s="93"/>
      <c r="F132" s="93"/>
      <c r="G132" s="243" t="str">
        <f t="shared" si="1"/>
        <v/>
      </c>
      <c r="H132" s="246"/>
      <c r="I132" s="242"/>
      <c r="J132" s="242"/>
      <c r="K132" s="242"/>
    </row>
    <row r="133" spans="1:11">
      <c r="A133" s="252"/>
      <c r="B133" s="87"/>
      <c r="C133" s="85"/>
      <c r="D133" s="114"/>
      <c r="E133" s="88"/>
      <c r="F133" s="92"/>
      <c r="G133" s="243" t="str">
        <f t="shared" si="1"/>
        <v/>
      </c>
      <c r="H133" s="82"/>
      <c r="I133" s="242"/>
      <c r="J133" s="242"/>
      <c r="K133" s="242"/>
    </row>
    <row r="134" spans="1:11">
      <c r="A134" s="252"/>
      <c r="B134" s="87"/>
      <c r="C134" s="85"/>
      <c r="D134" s="114"/>
      <c r="E134" s="88"/>
      <c r="F134" s="89"/>
      <c r="G134" s="243" t="str">
        <f t="shared" si="1"/>
        <v/>
      </c>
      <c r="H134" s="82"/>
      <c r="I134" s="242"/>
      <c r="J134" s="242"/>
      <c r="K134" s="242"/>
    </row>
    <row r="135" spans="1:11">
      <c r="A135" s="252"/>
      <c r="B135" s="87"/>
      <c r="C135" s="85"/>
      <c r="D135" s="114"/>
      <c r="E135" s="320"/>
      <c r="F135" s="89"/>
      <c r="G135" s="243" t="str">
        <f t="shared" si="1"/>
        <v/>
      </c>
      <c r="H135" s="82"/>
      <c r="I135" s="242"/>
      <c r="J135" s="242"/>
      <c r="K135" s="242"/>
    </row>
    <row r="136" spans="1:11">
      <c r="A136" s="252"/>
      <c r="B136" s="94"/>
      <c r="C136" s="85"/>
      <c r="D136" s="114"/>
      <c r="E136" s="320"/>
      <c r="F136" s="86"/>
      <c r="G136" s="243" t="str">
        <f t="shared" si="1"/>
        <v/>
      </c>
      <c r="H136" s="82"/>
      <c r="I136" s="242"/>
      <c r="J136" s="242"/>
      <c r="K136" s="242"/>
    </row>
    <row r="137" spans="1:11">
      <c r="A137" s="252"/>
      <c r="B137" s="87"/>
      <c r="C137" s="85"/>
      <c r="D137" s="114"/>
      <c r="E137" s="86"/>
      <c r="F137" s="90"/>
      <c r="G137" s="243" t="str">
        <f t="shared" si="1"/>
        <v/>
      </c>
      <c r="H137" s="82"/>
      <c r="I137" s="242"/>
      <c r="J137" s="242"/>
      <c r="K137" s="242"/>
    </row>
    <row r="138" spans="1:11">
      <c r="A138" s="252"/>
      <c r="B138" s="87"/>
      <c r="C138" s="85"/>
      <c r="D138" s="114"/>
      <c r="E138" s="89"/>
      <c r="F138" s="89"/>
      <c r="G138" s="243" t="str">
        <f t="shared" si="1"/>
        <v/>
      </c>
      <c r="H138" s="82"/>
      <c r="I138" s="242"/>
      <c r="J138" s="242"/>
      <c r="K138" s="242"/>
    </row>
    <row r="139" spans="1:11">
      <c r="A139" s="252"/>
      <c r="B139" s="87"/>
      <c r="C139" s="85"/>
      <c r="D139" s="114"/>
      <c r="E139" s="93"/>
      <c r="F139" s="93"/>
      <c r="G139" s="243" t="str">
        <f t="shared" si="1"/>
        <v/>
      </c>
      <c r="H139" s="82"/>
      <c r="I139" s="242"/>
      <c r="J139" s="242"/>
      <c r="K139" s="242"/>
    </row>
    <row r="140" spans="1:11">
      <c r="A140" s="252"/>
      <c r="B140" s="87"/>
      <c r="C140" s="85"/>
      <c r="D140" s="114"/>
      <c r="E140" s="88"/>
      <c r="F140" s="93"/>
      <c r="G140" s="243" t="str">
        <f t="shared" ref="G140:G203" si="2">IF(AND(E140="",F140=""),"",(G139+E140)-F140)</f>
        <v/>
      </c>
      <c r="H140" s="82"/>
      <c r="I140" s="242"/>
      <c r="J140" s="242"/>
      <c r="K140" s="242"/>
    </row>
    <row r="141" spans="1:11">
      <c r="A141" s="252"/>
      <c r="B141" s="87"/>
      <c r="C141" s="85"/>
      <c r="D141" s="114"/>
      <c r="E141" s="88"/>
      <c r="F141" s="93"/>
      <c r="G141" s="243" t="str">
        <f t="shared" si="2"/>
        <v/>
      </c>
      <c r="H141" s="82"/>
      <c r="I141" s="242"/>
      <c r="J141" s="242"/>
    </row>
    <row r="142" spans="1:11">
      <c r="A142" s="252"/>
      <c r="B142" s="87"/>
      <c r="C142" s="85"/>
      <c r="D142" s="114"/>
      <c r="E142" s="320"/>
      <c r="F142" s="93"/>
      <c r="G142" s="243" t="str">
        <f t="shared" si="2"/>
        <v/>
      </c>
      <c r="H142" s="82"/>
      <c r="I142" s="242"/>
      <c r="J142" s="242"/>
    </row>
    <row r="143" spans="1:11">
      <c r="A143" s="252"/>
      <c r="B143" s="87"/>
      <c r="C143" s="85"/>
      <c r="D143" s="114"/>
      <c r="E143" s="320"/>
      <c r="F143" s="93"/>
      <c r="G143" s="243" t="str">
        <f t="shared" si="2"/>
        <v/>
      </c>
      <c r="H143" s="82"/>
      <c r="I143" s="242"/>
      <c r="J143" s="242"/>
    </row>
    <row r="144" spans="1:11" ht="15.75">
      <c r="A144" s="254"/>
      <c r="B144" s="206"/>
      <c r="C144" s="207"/>
      <c r="D144" s="208"/>
      <c r="E144" s="241"/>
      <c r="F144" s="241"/>
      <c r="G144" s="244" t="str">
        <f t="shared" si="2"/>
        <v/>
      </c>
      <c r="H144" s="299">
        <v>83556000</v>
      </c>
      <c r="I144" s="242"/>
      <c r="J144" s="242"/>
    </row>
    <row r="145" spans="1:10">
      <c r="A145" s="247"/>
      <c r="B145" s="157"/>
      <c r="C145" s="85"/>
      <c r="D145" s="114"/>
      <c r="E145" s="93"/>
      <c r="F145" s="93"/>
      <c r="G145" s="243" t="str">
        <f t="shared" si="2"/>
        <v/>
      </c>
      <c r="H145" s="82"/>
      <c r="I145" s="242"/>
      <c r="J145" s="242"/>
    </row>
    <row r="146" spans="1:10">
      <c r="A146" s="247"/>
      <c r="B146" s="157"/>
      <c r="C146" s="85"/>
      <c r="D146" s="114"/>
      <c r="E146" s="93"/>
      <c r="F146" s="93"/>
      <c r="G146" s="243" t="str">
        <f t="shared" si="2"/>
        <v/>
      </c>
      <c r="H146" s="82"/>
      <c r="I146" s="242"/>
      <c r="J146" s="242"/>
    </row>
    <row r="147" spans="1:10">
      <c r="A147" s="247"/>
      <c r="B147" s="248"/>
      <c r="C147" s="85"/>
      <c r="D147" s="114"/>
      <c r="E147" s="93"/>
      <c r="F147" s="93"/>
      <c r="G147" s="243" t="str">
        <f t="shared" si="2"/>
        <v/>
      </c>
      <c r="H147" s="82"/>
      <c r="I147" s="242"/>
      <c r="J147" s="242"/>
    </row>
    <row r="148" spans="1:10">
      <c r="A148" s="247"/>
      <c r="B148" s="157"/>
      <c r="C148" s="85"/>
      <c r="D148" s="114"/>
      <c r="E148" s="93"/>
      <c r="F148" s="93"/>
      <c r="G148" s="243" t="str">
        <f t="shared" si="2"/>
        <v/>
      </c>
      <c r="H148" s="82"/>
      <c r="I148" s="242"/>
      <c r="J148" s="242"/>
    </row>
    <row r="149" spans="1:10">
      <c r="A149" s="247"/>
      <c r="B149" s="157"/>
      <c r="C149" s="85"/>
      <c r="D149" s="114"/>
      <c r="E149" s="93"/>
      <c r="F149" s="93"/>
      <c r="G149" s="243" t="str">
        <f t="shared" si="2"/>
        <v/>
      </c>
      <c r="H149" s="82"/>
      <c r="I149" s="242"/>
      <c r="J149" s="242"/>
    </row>
    <row r="150" spans="1:10">
      <c r="A150" s="247"/>
      <c r="B150" s="157"/>
      <c r="C150" s="85"/>
      <c r="D150" s="114"/>
      <c r="E150" s="86"/>
      <c r="F150" s="86"/>
      <c r="G150" s="243" t="str">
        <f t="shared" si="2"/>
        <v/>
      </c>
      <c r="H150" s="82"/>
      <c r="I150" s="242"/>
      <c r="J150" s="242"/>
    </row>
    <row r="151" spans="1:10">
      <c r="A151" s="247"/>
      <c r="B151" s="157"/>
      <c r="C151" s="85"/>
      <c r="D151" s="114"/>
      <c r="E151" s="86"/>
      <c r="F151" s="86"/>
      <c r="G151" s="243" t="str">
        <f t="shared" si="2"/>
        <v/>
      </c>
      <c r="H151" s="82"/>
      <c r="I151" s="242"/>
      <c r="J151" s="242"/>
    </row>
    <row r="152" spans="1:10">
      <c r="A152" s="247"/>
      <c r="B152" s="157"/>
      <c r="C152" s="85"/>
      <c r="D152" s="114"/>
      <c r="E152" s="89"/>
      <c r="F152" s="89"/>
      <c r="G152" s="243" t="str">
        <f t="shared" si="2"/>
        <v/>
      </c>
      <c r="H152" s="82"/>
      <c r="I152" s="242"/>
      <c r="J152" s="242"/>
    </row>
    <row r="153" spans="1:10">
      <c r="A153" s="247"/>
      <c r="B153" s="157"/>
      <c r="C153" s="85"/>
      <c r="D153" s="114"/>
      <c r="E153" s="89"/>
      <c r="F153" s="89"/>
      <c r="G153" s="86" t="str">
        <f t="shared" si="2"/>
        <v/>
      </c>
    </row>
    <row r="154" spans="1:10">
      <c r="A154" s="247"/>
      <c r="B154" s="157"/>
      <c r="C154" s="85"/>
      <c r="D154" s="114"/>
      <c r="E154" s="89"/>
      <c r="F154" s="89"/>
      <c r="G154" s="86" t="str">
        <f t="shared" si="2"/>
        <v/>
      </c>
    </row>
    <row r="155" spans="1:10">
      <c r="A155" s="247"/>
      <c r="B155" s="279"/>
      <c r="C155" s="85"/>
      <c r="D155" s="114"/>
      <c r="E155" s="93"/>
      <c r="F155" s="93"/>
      <c r="G155" s="86" t="str">
        <f t="shared" si="2"/>
        <v/>
      </c>
    </row>
    <row r="156" spans="1:10">
      <c r="A156" s="247"/>
      <c r="B156" s="157"/>
      <c r="C156" s="85"/>
      <c r="D156" s="114"/>
      <c r="E156" s="93"/>
      <c r="F156" s="93"/>
      <c r="G156" s="86" t="str">
        <f t="shared" si="2"/>
        <v/>
      </c>
    </row>
    <row r="157" spans="1:10">
      <c r="A157" s="247"/>
      <c r="B157" s="157"/>
      <c r="C157" s="85"/>
      <c r="D157" s="114"/>
      <c r="E157" s="93"/>
      <c r="F157" s="93"/>
      <c r="G157" s="86" t="str">
        <f t="shared" si="2"/>
        <v/>
      </c>
    </row>
    <row r="158" spans="1:10">
      <c r="A158" s="247"/>
      <c r="B158" s="157"/>
      <c r="C158" s="85"/>
      <c r="D158" s="114"/>
      <c r="E158" s="93"/>
      <c r="F158" s="93"/>
      <c r="G158" s="86" t="str">
        <f t="shared" si="2"/>
        <v/>
      </c>
    </row>
    <row r="159" spans="1:10">
      <c r="A159" s="247"/>
      <c r="B159" s="157"/>
      <c r="C159" s="85"/>
      <c r="D159" s="114"/>
      <c r="E159" s="93"/>
      <c r="F159" s="93"/>
      <c r="G159" s="86" t="str">
        <f t="shared" si="2"/>
        <v/>
      </c>
    </row>
    <row r="160" spans="1:10">
      <c r="A160" s="247"/>
      <c r="B160" s="248"/>
      <c r="C160" s="85"/>
      <c r="D160" s="114"/>
      <c r="E160" s="93"/>
      <c r="F160" s="93"/>
      <c r="G160" s="86" t="str">
        <f>IF(AND(E160="",F160=""),"",(G159+E160)-F160)</f>
        <v/>
      </c>
    </row>
    <row r="161" spans="1:7">
      <c r="A161" s="247"/>
      <c r="B161" s="249"/>
      <c r="C161" s="85"/>
      <c r="D161" s="114"/>
      <c r="E161" s="93"/>
      <c r="F161" s="93"/>
      <c r="G161" s="86" t="str">
        <f t="shared" si="2"/>
        <v/>
      </c>
    </row>
    <row r="162" spans="1:7">
      <c r="A162" s="247"/>
      <c r="B162" s="249"/>
      <c r="C162" s="85"/>
      <c r="D162" s="114"/>
      <c r="E162" s="93"/>
      <c r="F162" s="93"/>
      <c r="G162" s="86" t="str">
        <f t="shared" si="2"/>
        <v/>
      </c>
    </row>
    <row r="163" spans="1:7">
      <c r="A163" s="247"/>
      <c r="B163" s="249"/>
      <c r="C163" s="85"/>
      <c r="D163" s="114"/>
      <c r="E163" s="93"/>
      <c r="F163" s="93"/>
      <c r="G163" s="86" t="str">
        <f t="shared" si="2"/>
        <v/>
      </c>
    </row>
    <row r="164" spans="1:7">
      <c r="A164" s="247"/>
      <c r="B164" s="157"/>
      <c r="C164" s="85"/>
      <c r="D164" s="114"/>
      <c r="E164" s="93"/>
      <c r="F164" s="93"/>
      <c r="G164" s="86" t="str">
        <f t="shared" si="2"/>
        <v/>
      </c>
    </row>
    <row r="165" spans="1:7">
      <c r="A165" s="247"/>
      <c r="B165" s="248"/>
      <c r="C165" s="85"/>
      <c r="D165" s="114"/>
      <c r="E165" s="93"/>
      <c r="F165" s="93"/>
      <c r="G165" s="86" t="str">
        <f t="shared" si="2"/>
        <v/>
      </c>
    </row>
    <row r="166" spans="1:7">
      <c r="A166" s="255"/>
      <c r="B166" s="249"/>
      <c r="C166" s="85"/>
      <c r="D166" s="114"/>
      <c r="E166" s="86"/>
      <c r="F166" s="86"/>
      <c r="G166" s="86" t="str">
        <f t="shared" si="2"/>
        <v/>
      </c>
    </row>
    <row r="167" spans="1:7">
      <c r="A167" s="255"/>
      <c r="B167" s="249"/>
      <c r="C167" s="85"/>
      <c r="D167" s="114"/>
      <c r="E167" s="86"/>
      <c r="F167" s="86"/>
      <c r="G167" s="86" t="str">
        <f t="shared" si="2"/>
        <v/>
      </c>
    </row>
    <row r="168" spans="1:7">
      <c r="A168" s="255"/>
      <c r="C168" s="85"/>
      <c r="D168" s="114"/>
      <c r="E168" s="86"/>
      <c r="F168" s="86"/>
      <c r="G168" s="86" t="str">
        <f t="shared" si="2"/>
        <v/>
      </c>
    </row>
    <row r="169" spans="1:7">
      <c r="A169" s="255"/>
      <c r="B169" s="249"/>
      <c r="C169" s="85"/>
      <c r="D169" s="114"/>
      <c r="E169" s="93"/>
      <c r="F169" s="93"/>
      <c r="G169" s="86" t="str">
        <f t="shared" si="2"/>
        <v/>
      </c>
    </row>
    <row r="170" spans="1:7">
      <c r="A170" s="255"/>
      <c r="B170" s="249"/>
      <c r="C170" s="85"/>
      <c r="D170" s="114"/>
      <c r="E170" s="93"/>
      <c r="F170" s="93"/>
      <c r="G170" s="86" t="str">
        <f t="shared" si="2"/>
        <v/>
      </c>
    </row>
    <row r="171" spans="1:7" ht="15">
      <c r="A171" s="255"/>
      <c r="B171" s="249"/>
      <c r="C171" s="85"/>
      <c r="D171" s="114"/>
      <c r="E171" s="93"/>
      <c r="F171" s="93"/>
      <c r="G171" s="300" t="str">
        <f t="shared" si="2"/>
        <v/>
      </c>
    </row>
    <row r="172" spans="1:7">
      <c r="A172" s="255"/>
      <c r="B172" s="87"/>
      <c r="C172" s="85"/>
      <c r="D172" s="114"/>
      <c r="E172" s="93"/>
      <c r="F172" s="93"/>
      <c r="G172" s="86" t="str">
        <f t="shared" si="2"/>
        <v/>
      </c>
    </row>
    <row r="173" spans="1:7">
      <c r="A173" s="255"/>
      <c r="B173" s="87"/>
      <c r="C173" s="85"/>
      <c r="D173" s="114"/>
      <c r="E173" s="93"/>
      <c r="F173" s="93"/>
      <c r="G173" s="86" t="str">
        <f t="shared" si="2"/>
        <v/>
      </c>
    </row>
    <row r="174" spans="1:7">
      <c r="A174" s="255"/>
      <c r="B174" s="87"/>
      <c r="C174" s="85"/>
      <c r="D174" s="114"/>
      <c r="E174" s="93"/>
      <c r="F174" s="93"/>
      <c r="G174" s="86" t="str">
        <f t="shared" si="2"/>
        <v/>
      </c>
    </row>
    <row r="175" spans="1:7">
      <c r="A175" s="255"/>
      <c r="B175" s="87"/>
      <c r="C175" s="85"/>
      <c r="D175" s="114"/>
      <c r="E175" s="93"/>
      <c r="F175" s="93"/>
      <c r="G175" s="86" t="str">
        <f t="shared" si="2"/>
        <v/>
      </c>
    </row>
    <row r="176" spans="1:7">
      <c r="A176" s="255"/>
      <c r="B176" s="87"/>
      <c r="C176" s="85"/>
      <c r="D176" s="114"/>
      <c r="E176" s="93"/>
      <c r="F176" s="93"/>
      <c r="G176" s="86" t="str">
        <f t="shared" si="2"/>
        <v/>
      </c>
    </row>
    <row r="177" spans="1:8">
      <c r="A177" s="255"/>
      <c r="B177" s="87"/>
      <c r="C177" s="85"/>
      <c r="D177" s="114"/>
      <c r="E177" s="93"/>
      <c r="F177" s="93"/>
      <c r="G177" s="86" t="str">
        <f t="shared" si="2"/>
        <v/>
      </c>
    </row>
    <row r="178" spans="1:8" ht="18.75">
      <c r="A178" s="302"/>
      <c r="B178" s="303"/>
      <c r="C178" s="304"/>
      <c r="D178" s="305"/>
      <c r="E178" s="306"/>
      <c r="F178" s="306"/>
      <c r="G178" s="307" t="str">
        <f t="shared" si="2"/>
        <v/>
      </c>
      <c r="H178" s="308">
        <v>77618000</v>
      </c>
    </row>
    <row r="179" spans="1:8">
      <c r="A179" s="255"/>
      <c r="B179" s="87"/>
      <c r="C179" s="85"/>
      <c r="D179" s="114"/>
      <c r="E179" s="93"/>
      <c r="F179" s="93"/>
      <c r="G179" s="86" t="str">
        <f t="shared" si="2"/>
        <v/>
      </c>
    </row>
    <row r="180" spans="1:8">
      <c r="A180" s="255"/>
      <c r="B180" s="87"/>
      <c r="C180" s="85"/>
      <c r="D180" s="114"/>
      <c r="E180" s="93"/>
      <c r="F180" s="93"/>
      <c r="G180" s="86" t="str">
        <f t="shared" si="2"/>
        <v/>
      </c>
    </row>
    <row r="181" spans="1:8">
      <c r="A181" s="255"/>
      <c r="B181" s="87"/>
      <c r="C181" s="85"/>
      <c r="D181" s="114"/>
      <c r="E181" s="312"/>
      <c r="F181" s="93"/>
      <c r="G181" s="86" t="str">
        <f t="shared" si="2"/>
        <v/>
      </c>
    </row>
    <row r="182" spans="1:8">
      <c r="A182" s="255"/>
      <c r="B182" s="87"/>
      <c r="C182" s="85"/>
      <c r="D182" s="114"/>
      <c r="E182" s="312"/>
      <c r="F182" s="93"/>
      <c r="G182" s="86" t="str">
        <f t="shared" si="2"/>
        <v/>
      </c>
    </row>
    <row r="183" spans="1:8">
      <c r="A183" s="255"/>
      <c r="B183" s="87"/>
      <c r="C183" s="85"/>
      <c r="D183" s="114"/>
      <c r="E183" s="312"/>
      <c r="F183" s="93"/>
      <c r="G183" s="86" t="str">
        <f t="shared" si="2"/>
        <v/>
      </c>
    </row>
    <row r="184" spans="1:8">
      <c r="A184" s="255"/>
      <c r="B184" s="87"/>
      <c r="C184" s="85"/>
      <c r="D184" s="114"/>
      <c r="E184" s="312"/>
      <c r="F184" s="93"/>
      <c r="G184" s="86" t="str">
        <f t="shared" si="2"/>
        <v/>
      </c>
    </row>
    <row r="185" spans="1:8">
      <c r="A185" s="255"/>
      <c r="B185" s="87"/>
      <c r="C185" s="85"/>
      <c r="D185" s="114"/>
      <c r="E185" s="313"/>
      <c r="F185" s="86"/>
      <c r="G185" s="86" t="str">
        <f t="shared" si="2"/>
        <v/>
      </c>
    </row>
    <row r="186" spans="1:8">
      <c r="A186" s="255"/>
      <c r="B186" s="87"/>
      <c r="C186" s="85"/>
      <c r="D186" s="114"/>
      <c r="E186" s="86"/>
      <c r="F186" s="86"/>
      <c r="G186" s="86" t="str">
        <f>IF(AND(E186="",F186=""),"",(G185+E186)-F186)</f>
        <v/>
      </c>
    </row>
    <row r="187" spans="1:8">
      <c r="A187" s="252"/>
      <c r="B187" s="310"/>
      <c r="C187" s="85"/>
      <c r="D187" s="114"/>
      <c r="E187" s="86"/>
      <c r="F187" s="86"/>
      <c r="G187" s="86" t="str">
        <f t="shared" si="2"/>
        <v/>
      </c>
    </row>
    <row r="188" spans="1:8">
      <c r="A188" s="252"/>
      <c r="B188" s="310"/>
      <c r="C188" s="85"/>
      <c r="D188" s="114"/>
      <c r="E188" s="86"/>
      <c r="F188" s="86"/>
      <c r="G188" s="86" t="str">
        <f t="shared" si="2"/>
        <v/>
      </c>
    </row>
    <row r="189" spans="1:8">
      <c r="A189" s="252"/>
      <c r="B189" s="157"/>
      <c r="C189" s="85"/>
      <c r="D189" s="114"/>
      <c r="E189" s="86"/>
      <c r="F189" s="86"/>
      <c r="G189" s="86" t="str">
        <f t="shared" si="2"/>
        <v/>
      </c>
    </row>
    <row r="190" spans="1:8">
      <c r="A190" s="252"/>
      <c r="B190" s="310"/>
      <c r="C190" s="85"/>
      <c r="D190" s="114"/>
      <c r="E190" s="86"/>
      <c r="F190" s="86"/>
      <c r="G190" s="86" t="str">
        <f t="shared" si="2"/>
        <v/>
      </c>
    </row>
    <row r="191" spans="1:8">
      <c r="A191" s="252"/>
      <c r="B191" s="310"/>
      <c r="C191" s="85"/>
      <c r="D191" s="114"/>
      <c r="E191" s="313"/>
      <c r="F191" s="86"/>
      <c r="G191" s="86" t="str">
        <f t="shared" si="2"/>
        <v/>
      </c>
    </row>
    <row r="192" spans="1:8">
      <c r="A192" s="255"/>
      <c r="B192" s="87"/>
      <c r="C192" s="85"/>
      <c r="D192" s="114"/>
      <c r="E192" s="314"/>
      <c r="F192" s="89"/>
      <c r="G192" s="86" t="str">
        <f t="shared" si="2"/>
        <v/>
      </c>
    </row>
    <row r="193" spans="1:7">
      <c r="A193" s="255"/>
      <c r="B193" s="87"/>
      <c r="C193" s="85"/>
      <c r="D193" s="114"/>
      <c r="E193" s="89"/>
      <c r="F193" s="89"/>
      <c r="G193" s="86" t="str">
        <f t="shared" si="2"/>
        <v/>
      </c>
    </row>
    <row r="194" spans="1:7">
      <c r="A194" s="255"/>
      <c r="B194" s="87"/>
      <c r="C194" s="85"/>
      <c r="D194" s="114"/>
      <c r="E194" s="86"/>
      <c r="F194" s="86"/>
      <c r="G194" s="86" t="str">
        <f t="shared" si="2"/>
        <v/>
      </c>
    </row>
    <row r="195" spans="1:7">
      <c r="A195" s="255"/>
      <c r="B195" s="87"/>
      <c r="C195" s="85"/>
      <c r="D195" s="114"/>
      <c r="E195" s="86"/>
      <c r="F195" s="86"/>
      <c r="G195" s="86" t="str">
        <f t="shared" si="2"/>
        <v/>
      </c>
    </row>
    <row r="196" spans="1:7">
      <c r="A196" s="255"/>
      <c r="B196" s="87"/>
      <c r="C196" s="85"/>
      <c r="D196" s="114"/>
      <c r="E196" s="89"/>
      <c r="F196" s="89"/>
      <c r="G196" s="86" t="str">
        <f t="shared" si="2"/>
        <v/>
      </c>
    </row>
    <row r="197" spans="1:7">
      <c r="A197" s="255"/>
      <c r="B197" s="87"/>
      <c r="C197" s="85"/>
      <c r="D197" s="114"/>
      <c r="E197" s="86"/>
      <c r="F197" s="86"/>
      <c r="G197" s="86" t="str">
        <f t="shared" si="2"/>
        <v/>
      </c>
    </row>
    <row r="198" spans="1:7">
      <c r="A198" s="255"/>
      <c r="B198" s="87"/>
      <c r="C198" s="85"/>
      <c r="D198" s="114"/>
      <c r="E198" s="86"/>
      <c r="F198" s="86"/>
      <c r="G198" s="86" t="str">
        <f t="shared" si="2"/>
        <v/>
      </c>
    </row>
    <row r="199" spans="1:7">
      <c r="A199" s="255"/>
      <c r="B199" s="87"/>
      <c r="C199" s="85"/>
      <c r="D199" s="114"/>
      <c r="E199" s="86"/>
      <c r="F199" s="86"/>
      <c r="G199" s="86" t="str">
        <f t="shared" si="2"/>
        <v/>
      </c>
    </row>
    <row r="200" spans="1:7">
      <c r="A200" s="255"/>
      <c r="B200" s="87"/>
      <c r="C200" s="85"/>
      <c r="D200" s="114"/>
      <c r="E200" s="89"/>
      <c r="F200" s="89"/>
      <c r="G200" s="86" t="str">
        <f t="shared" si="2"/>
        <v/>
      </c>
    </row>
    <row r="201" spans="1:7">
      <c r="A201" s="255"/>
      <c r="B201" s="87"/>
      <c r="C201" s="85"/>
      <c r="D201" s="114"/>
      <c r="E201" s="86"/>
      <c r="F201" s="313"/>
      <c r="G201" s="86" t="str">
        <f t="shared" si="2"/>
        <v/>
      </c>
    </row>
    <row r="202" spans="1:7">
      <c r="A202" s="255"/>
      <c r="B202" s="87"/>
      <c r="C202" s="85"/>
      <c r="D202" s="114"/>
      <c r="E202" s="313"/>
      <c r="F202" s="86"/>
      <c r="G202" s="86" t="str">
        <f t="shared" si="2"/>
        <v/>
      </c>
    </row>
    <row r="203" spans="1:7">
      <c r="A203" s="255"/>
      <c r="B203" s="87"/>
      <c r="C203" s="85"/>
      <c r="D203" s="114"/>
      <c r="E203" s="313"/>
      <c r="F203" s="86"/>
      <c r="G203" s="86" t="str">
        <f t="shared" si="2"/>
        <v/>
      </c>
    </row>
    <row r="204" spans="1:7">
      <c r="A204" s="255"/>
      <c r="B204" s="87"/>
      <c r="C204" s="85"/>
      <c r="D204" s="114"/>
      <c r="E204" s="86"/>
      <c r="F204" s="86"/>
      <c r="G204" s="86" t="str">
        <f t="shared" ref="G204:G267" si="3">IF(AND(E204="",F204=""),"",(G203+E204)-F204)</f>
        <v/>
      </c>
    </row>
    <row r="205" spans="1:7">
      <c r="A205" s="255"/>
      <c r="B205" s="87"/>
      <c r="C205" s="85"/>
      <c r="D205" s="114"/>
      <c r="E205" s="86"/>
      <c r="F205" s="86"/>
      <c r="G205" s="86" t="str">
        <f t="shared" si="3"/>
        <v/>
      </c>
    </row>
    <row r="206" spans="1:7">
      <c r="A206" s="255"/>
      <c r="B206" s="87"/>
      <c r="C206" s="85"/>
      <c r="D206" s="114"/>
      <c r="E206" s="86"/>
      <c r="F206" s="313"/>
      <c r="G206" s="86" t="str">
        <f t="shared" si="3"/>
        <v/>
      </c>
    </row>
    <row r="207" spans="1:7">
      <c r="A207" s="255"/>
      <c r="B207" s="87"/>
      <c r="C207" s="85"/>
      <c r="D207" s="114"/>
      <c r="E207" s="86"/>
      <c r="F207" s="86"/>
      <c r="G207" s="86" t="str">
        <f t="shared" si="3"/>
        <v/>
      </c>
    </row>
    <row r="208" spans="1:7">
      <c r="A208" s="255"/>
      <c r="B208" s="87"/>
      <c r="C208" s="85"/>
      <c r="D208" s="114"/>
      <c r="E208" s="86"/>
      <c r="F208" s="86"/>
      <c r="G208" s="86" t="str">
        <f t="shared" si="3"/>
        <v/>
      </c>
    </row>
    <row r="209" spans="1:7">
      <c r="A209" s="255"/>
      <c r="B209" s="87"/>
      <c r="C209" s="85"/>
      <c r="D209" s="114"/>
      <c r="E209" s="86"/>
      <c r="F209" s="86"/>
      <c r="G209" s="86" t="str">
        <f t="shared" si="3"/>
        <v/>
      </c>
    </row>
    <row r="210" spans="1:7">
      <c r="A210" s="255"/>
      <c r="B210" s="87"/>
      <c r="C210" s="85"/>
      <c r="D210" s="114"/>
      <c r="E210" s="86"/>
      <c r="F210" s="86"/>
      <c r="G210" s="86" t="str">
        <f t="shared" si="3"/>
        <v/>
      </c>
    </row>
    <row r="211" spans="1:7">
      <c r="A211" s="255"/>
      <c r="B211" s="87"/>
      <c r="C211" s="85"/>
      <c r="D211" s="114"/>
      <c r="E211" s="89"/>
      <c r="F211" s="314"/>
      <c r="G211" s="86" t="str">
        <f t="shared" si="3"/>
        <v/>
      </c>
    </row>
    <row r="212" spans="1:7">
      <c r="A212" s="255"/>
      <c r="B212" s="87"/>
      <c r="C212" s="85"/>
      <c r="D212" s="114"/>
      <c r="E212" s="89"/>
      <c r="F212" s="89"/>
      <c r="G212" s="86" t="str">
        <f t="shared" si="3"/>
        <v/>
      </c>
    </row>
    <row r="213" spans="1:7">
      <c r="A213" s="255"/>
      <c r="B213" s="87"/>
      <c r="C213" s="85"/>
      <c r="D213" s="114"/>
      <c r="E213" s="89"/>
      <c r="F213" s="314"/>
      <c r="G213" s="86" t="str">
        <f t="shared" si="3"/>
        <v/>
      </c>
    </row>
    <row r="214" spans="1:7">
      <c r="A214" s="255"/>
      <c r="B214" s="87"/>
      <c r="C214" s="85"/>
      <c r="D214" s="114"/>
      <c r="E214" s="93"/>
      <c r="F214" s="93"/>
      <c r="G214" s="86" t="str">
        <f t="shared" si="3"/>
        <v/>
      </c>
    </row>
    <row r="215" spans="1:7">
      <c r="A215" s="255"/>
      <c r="B215" s="87"/>
      <c r="C215" s="85"/>
      <c r="D215" s="114"/>
      <c r="E215" s="93"/>
      <c r="F215" s="312"/>
      <c r="G215" s="86" t="str">
        <f t="shared" si="3"/>
        <v/>
      </c>
    </row>
    <row r="216" spans="1:7">
      <c r="A216" s="255"/>
      <c r="B216" s="87"/>
      <c r="C216" s="85"/>
      <c r="D216" s="114"/>
      <c r="E216" s="93"/>
      <c r="F216" s="93"/>
      <c r="G216" s="86" t="str">
        <f t="shared" si="3"/>
        <v/>
      </c>
    </row>
    <row r="217" spans="1:7">
      <c r="A217" s="255"/>
      <c r="B217" s="87"/>
      <c r="C217" s="85"/>
      <c r="D217" s="114"/>
      <c r="E217" s="93"/>
      <c r="F217" s="93"/>
      <c r="G217" s="86" t="str">
        <f t="shared" si="3"/>
        <v/>
      </c>
    </row>
    <row r="218" spans="1:7">
      <c r="A218" s="255"/>
      <c r="B218" s="87"/>
      <c r="C218" s="85"/>
      <c r="D218" s="114"/>
      <c r="E218" s="93"/>
      <c r="F218" s="93"/>
      <c r="G218" s="86" t="str">
        <f t="shared" si="3"/>
        <v/>
      </c>
    </row>
    <row r="219" spans="1:7">
      <c r="A219" s="255"/>
      <c r="B219" s="87"/>
      <c r="C219" s="85"/>
      <c r="D219" s="114"/>
      <c r="E219" s="86"/>
      <c r="F219" s="86"/>
      <c r="G219" s="86" t="str">
        <f t="shared" si="3"/>
        <v/>
      </c>
    </row>
    <row r="220" spans="1:7">
      <c r="A220" s="255"/>
      <c r="B220" s="87"/>
      <c r="C220" s="85"/>
      <c r="D220" s="114"/>
      <c r="E220" s="86"/>
      <c r="F220" s="86"/>
      <c r="G220" s="86" t="str">
        <f t="shared" si="3"/>
        <v/>
      </c>
    </row>
    <row r="221" spans="1:7">
      <c r="A221" s="255"/>
      <c r="B221" s="87"/>
      <c r="C221" s="85"/>
      <c r="D221" s="114"/>
      <c r="E221" s="86"/>
      <c r="F221" s="86"/>
      <c r="G221" s="86" t="str">
        <f t="shared" si="3"/>
        <v/>
      </c>
    </row>
    <row r="222" spans="1:7">
      <c r="A222" s="255"/>
      <c r="B222" s="87"/>
      <c r="C222" s="85"/>
      <c r="D222" s="114"/>
      <c r="E222" s="86"/>
      <c r="F222" s="86"/>
      <c r="G222" s="86" t="str">
        <f t="shared" si="3"/>
        <v/>
      </c>
    </row>
    <row r="223" spans="1:7">
      <c r="A223" s="255"/>
      <c r="B223" s="87"/>
      <c r="C223" s="85"/>
      <c r="D223" s="114"/>
      <c r="E223" s="86"/>
      <c r="F223" s="86"/>
      <c r="G223" s="86" t="str">
        <f t="shared" si="3"/>
        <v/>
      </c>
    </row>
    <row r="224" spans="1:7">
      <c r="A224" s="255"/>
      <c r="B224" s="87"/>
      <c r="C224" s="85"/>
      <c r="D224" s="114"/>
      <c r="E224" s="86"/>
      <c r="F224" s="86"/>
      <c r="G224" s="86" t="str">
        <f t="shared" si="3"/>
        <v/>
      </c>
    </row>
    <row r="225" spans="1:7">
      <c r="A225" s="255"/>
      <c r="B225" s="87"/>
      <c r="C225" s="85"/>
      <c r="D225" s="114"/>
      <c r="E225" s="86"/>
      <c r="F225" s="86"/>
      <c r="G225" s="86" t="str">
        <f t="shared" si="3"/>
        <v/>
      </c>
    </row>
    <row r="226" spans="1:7">
      <c r="A226" s="255"/>
      <c r="B226" s="87"/>
      <c r="C226" s="85"/>
      <c r="D226" s="114"/>
      <c r="E226" s="86"/>
      <c r="F226" s="86"/>
      <c r="G226" s="86" t="str">
        <f t="shared" si="3"/>
        <v/>
      </c>
    </row>
    <row r="227" spans="1:7">
      <c r="A227" s="255"/>
      <c r="B227" s="87"/>
      <c r="C227" s="85"/>
      <c r="D227" s="114"/>
      <c r="E227" s="86"/>
      <c r="F227" s="86"/>
      <c r="G227" s="86" t="str">
        <f t="shared" si="3"/>
        <v/>
      </c>
    </row>
    <row r="228" spans="1:7">
      <c r="A228" s="255"/>
      <c r="B228" s="87"/>
      <c r="C228" s="85"/>
      <c r="D228" s="114"/>
      <c r="E228" s="95"/>
      <c r="F228" s="95"/>
      <c r="G228" s="86" t="str">
        <f t="shared" si="3"/>
        <v/>
      </c>
    </row>
    <row r="229" spans="1:7">
      <c r="A229" s="255"/>
      <c r="B229" s="94"/>
      <c r="C229" s="85"/>
      <c r="D229" s="114"/>
      <c r="E229" s="95"/>
      <c r="F229" s="95"/>
      <c r="G229" s="86" t="str">
        <f t="shared" si="3"/>
        <v/>
      </c>
    </row>
    <row r="230" spans="1:7">
      <c r="A230" s="255"/>
      <c r="B230" s="94"/>
      <c r="C230" s="85"/>
      <c r="D230" s="114"/>
      <c r="E230" s="95"/>
      <c r="F230" s="95"/>
      <c r="G230" s="86" t="str">
        <f t="shared" si="3"/>
        <v/>
      </c>
    </row>
    <row r="231" spans="1:7">
      <c r="A231" s="255"/>
      <c r="B231" s="94"/>
      <c r="C231" s="85"/>
      <c r="D231" s="114"/>
      <c r="E231" s="95"/>
      <c r="F231" s="95"/>
      <c r="G231" s="86" t="str">
        <f t="shared" si="3"/>
        <v/>
      </c>
    </row>
    <row r="232" spans="1:7">
      <c r="A232" s="255"/>
      <c r="B232" s="94"/>
      <c r="C232" s="85"/>
      <c r="D232" s="114"/>
      <c r="E232" s="95"/>
      <c r="F232" s="95"/>
      <c r="G232" s="86" t="str">
        <f t="shared" si="3"/>
        <v/>
      </c>
    </row>
    <row r="233" spans="1:7">
      <c r="A233" s="255"/>
      <c r="B233" s="94"/>
      <c r="C233" s="85"/>
      <c r="D233" s="114"/>
      <c r="E233" s="95"/>
      <c r="F233" s="95"/>
      <c r="G233" s="86" t="str">
        <f t="shared" si="3"/>
        <v/>
      </c>
    </row>
    <row r="234" spans="1:7">
      <c r="A234" s="255"/>
      <c r="B234" s="94"/>
      <c r="C234" s="85"/>
      <c r="D234" s="114"/>
      <c r="E234" s="95"/>
      <c r="F234" s="95"/>
      <c r="G234" s="86" t="str">
        <f t="shared" si="3"/>
        <v/>
      </c>
    </row>
    <row r="235" spans="1:7">
      <c r="A235" s="255"/>
      <c r="B235" s="94"/>
      <c r="C235" s="85"/>
      <c r="D235" s="114"/>
      <c r="E235" s="95"/>
      <c r="F235" s="95"/>
      <c r="G235" s="86" t="str">
        <f t="shared" si="3"/>
        <v/>
      </c>
    </row>
    <row r="236" spans="1:7">
      <c r="A236" s="255"/>
      <c r="B236" s="94"/>
      <c r="C236" s="85"/>
      <c r="D236" s="114"/>
      <c r="E236" s="95"/>
      <c r="F236" s="95"/>
      <c r="G236" s="86" t="str">
        <f t="shared" si="3"/>
        <v/>
      </c>
    </row>
    <row r="237" spans="1:7">
      <c r="A237" s="255"/>
      <c r="B237" s="94"/>
      <c r="C237" s="85"/>
      <c r="D237" s="114"/>
      <c r="E237" s="95"/>
      <c r="F237" s="95"/>
      <c r="G237" s="86" t="str">
        <f t="shared" si="3"/>
        <v/>
      </c>
    </row>
    <row r="238" spans="1:7">
      <c r="A238" s="255"/>
      <c r="B238" s="94"/>
      <c r="C238" s="85"/>
      <c r="D238" s="114"/>
      <c r="E238" s="95"/>
      <c r="F238" s="95"/>
      <c r="G238" s="86" t="str">
        <f t="shared" si="3"/>
        <v/>
      </c>
    </row>
    <row r="239" spans="1:7">
      <c r="A239" s="255"/>
      <c r="B239" s="94"/>
      <c r="C239" s="85"/>
      <c r="D239" s="114"/>
      <c r="E239" s="95"/>
      <c r="F239" s="95"/>
      <c r="G239" s="86" t="str">
        <f t="shared" si="3"/>
        <v/>
      </c>
    </row>
    <row r="240" spans="1:7">
      <c r="A240" s="255"/>
      <c r="B240" s="309"/>
      <c r="C240" s="85"/>
      <c r="D240" s="114"/>
      <c r="E240" s="95"/>
      <c r="F240" s="95"/>
      <c r="G240" s="86" t="str">
        <f t="shared" si="3"/>
        <v/>
      </c>
    </row>
    <row r="241" spans="1:8">
      <c r="A241" s="255"/>
      <c r="B241" s="309"/>
      <c r="C241" s="85"/>
      <c r="D241" s="114"/>
      <c r="E241" s="95"/>
      <c r="F241" s="95"/>
      <c r="G241" s="86" t="str">
        <f t="shared" si="3"/>
        <v/>
      </c>
    </row>
    <row r="242" spans="1:8">
      <c r="A242" s="255"/>
      <c r="B242" s="309"/>
      <c r="C242" s="85"/>
      <c r="D242" s="114"/>
      <c r="E242" s="95"/>
      <c r="F242" s="95"/>
      <c r="G242" s="86" t="str">
        <f t="shared" si="3"/>
        <v/>
      </c>
    </row>
    <row r="243" spans="1:8">
      <c r="A243" s="255"/>
      <c r="B243" s="94"/>
      <c r="C243" s="85"/>
      <c r="D243" s="114"/>
      <c r="E243" s="95"/>
      <c r="F243" s="95"/>
      <c r="G243" s="86" t="str">
        <f t="shared" si="3"/>
        <v/>
      </c>
    </row>
    <row r="244" spans="1:8">
      <c r="A244" s="255"/>
      <c r="B244" s="94"/>
      <c r="C244" s="85"/>
      <c r="D244" s="114"/>
      <c r="E244" s="95"/>
      <c r="F244" s="95"/>
      <c r="G244" s="86" t="str">
        <f t="shared" si="3"/>
        <v/>
      </c>
    </row>
    <row r="245" spans="1:8">
      <c r="A245" s="255"/>
      <c r="B245" s="94"/>
      <c r="C245" s="85"/>
      <c r="D245" s="114"/>
      <c r="E245" s="95"/>
      <c r="F245" s="95"/>
      <c r="G245" s="86" t="str">
        <f t="shared" si="3"/>
        <v/>
      </c>
    </row>
    <row r="246" spans="1:8">
      <c r="A246" s="255"/>
      <c r="B246" s="94"/>
      <c r="C246" s="85"/>
      <c r="D246" s="114"/>
      <c r="E246" s="95"/>
      <c r="F246" s="95"/>
      <c r="G246" s="86" t="str">
        <f t="shared" si="3"/>
        <v/>
      </c>
    </row>
    <row r="247" spans="1:8" ht="15">
      <c r="A247" s="255"/>
      <c r="B247" s="94"/>
      <c r="C247" s="85"/>
      <c r="D247" s="114"/>
      <c r="E247" s="95"/>
      <c r="F247" s="315"/>
      <c r="G247" s="86" t="str">
        <f t="shared" si="3"/>
        <v/>
      </c>
    </row>
    <row r="248" spans="1:8" ht="15">
      <c r="A248" s="255"/>
      <c r="B248" s="94"/>
      <c r="C248" s="85"/>
      <c r="D248" s="114"/>
      <c r="E248" s="95"/>
      <c r="F248" s="315"/>
      <c r="G248" s="86" t="str">
        <f t="shared" si="3"/>
        <v/>
      </c>
    </row>
    <row r="249" spans="1:8" ht="15">
      <c r="A249" s="255"/>
      <c r="B249" s="94"/>
      <c r="C249" s="85"/>
      <c r="D249" s="114"/>
      <c r="E249" s="95"/>
      <c r="F249" s="315"/>
      <c r="G249" s="86" t="str">
        <f t="shared" si="3"/>
        <v/>
      </c>
    </row>
    <row r="250" spans="1:8" ht="15">
      <c r="A250" s="255"/>
      <c r="B250" s="94"/>
      <c r="C250" s="85"/>
      <c r="D250" s="114"/>
      <c r="E250" s="95"/>
      <c r="F250" s="315"/>
      <c r="G250" s="86" t="str">
        <f t="shared" si="3"/>
        <v/>
      </c>
    </row>
    <row r="251" spans="1:8" ht="15">
      <c r="A251" s="255"/>
      <c r="B251" s="94"/>
      <c r="C251" s="85"/>
      <c r="D251" s="114"/>
      <c r="E251" s="95"/>
      <c r="F251" s="315"/>
      <c r="G251" s="86" t="str">
        <f t="shared" si="3"/>
        <v/>
      </c>
    </row>
    <row r="252" spans="1:8" ht="15">
      <c r="A252" s="255"/>
      <c r="B252" s="94"/>
      <c r="C252" s="85"/>
      <c r="D252" s="114"/>
      <c r="E252" s="95"/>
      <c r="F252" s="315"/>
      <c r="G252" s="86" t="str">
        <f t="shared" si="3"/>
        <v/>
      </c>
    </row>
    <row r="253" spans="1:8" ht="18.75">
      <c r="A253" s="255"/>
      <c r="B253" s="94"/>
      <c r="C253" s="85"/>
      <c r="D253" s="114"/>
      <c r="E253" s="95"/>
      <c r="F253" s="315"/>
      <c r="G253" s="86" t="str">
        <f t="shared" si="3"/>
        <v/>
      </c>
      <c r="H253" s="308">
        <v>122582000</v>
      </c>
    </row>
    <row r="254" spans="1:8">
      <c r="A254" s="255"/>
      <c r="B254" s="94"/>
      <c r="C254" s="85"/>
      <c r="D254" s="114"/>
      <c r="E254" s="95"/>
      <c r="F254" s="95"/>
      <c r="G254" s="86" t="str">
        <f t="shared" si="3"/>
        <v/>
      </c>
    </row>
    <row r="255" spans="1:8">
      <c r="A255" s="302"/>
      <c r="B255" s="316"/>
      <c r="C255" s="304"/>
      <c r="D255" s="305"/>
      <c r="E255" s="317"/>
      <c r="F255" s="317"/>
      <c r="G255" s="307" t="str">
        <f t="shared" si="3"/>
        <v/>
      </c>
    </row>
    <row r="256" spans="1:8">
      <c r="A256" s="255"/>
      <c r="B256" s="94"/>
      <c r="C256" s="85"/>
      <c r="D256" s="114"/>
      <c r="E256" s="95"/>
      <c r="F256" s="95"/>
      <c r="G256" s="86" t="str">
        <f t="shared" si="3"/>
        <v/>
      </c>
    </row>
    <row r="257" spans="1:7">
      <c r="A257" s="255"/>
      <c r="B257" s="94"/>
      <c r="C257" s="85"/>
      <c r="D257" s="114"/>
      <c r="E257" s="95"/>
      <c r="F257" s="95"/>
      <c r="G257" s="86" t="str">
        <f t="shared" si="3"/>
        <v/>
      </c>
    </row>
    <row r="258" spans="1:7">
      <c r="A258" s="255"/>
      <c r="B258" s="94"/>
      <c r="C258" s="85"/>
      <c r="D258" s="114"/>
      <c r="E258" s="95"/>
      <c r="F258" s="95"/>
      <c r="G258" s="86" t="str">
        <f t="shared" si="3"/>
        <v/>
      </c>
    </row>
    <row r="259" spans="1:7">
      <c r="A259" s="255"/>
      <c r="B259" s="94"/>
      <c r="C259" s="85"/>
      <c r="D259" s="114"/>
      <c r="E259" s="95"/>
      <c r="F259" s="95"/>
      <c r="G259" s="86" t="str">
        <f t="shared" si="3"/>
        <v/>
      </c>
    </row>
    <row r="260" spans="1:7">
      <c r="A260" s="255"/>
      <c r="B260" s="94"/>
      <c r="C260" s="85"/>
      <c r="D260" s="114"/>
      <c r="E260" s="95"/>
      <c r="F260" s="95"/>
      <c r="G260" s="86" t="str">
        <f t="shared" si="3"/>
        <v/>
      </c>
    </row>
    <row r="261" spans="1:7">
      <c r="A261" s="255"/>
      <c r="B261" s="94"/>
      <c r="C261" s="85"/>
      <c r="D261" s="114"/>
      <c r="E261" s="95"/>
      <c r="F261" s="95"/>
      <c r="G261" s="86" t="str">
        <f t="shared" si="3"/>
        <v/>
      </c>
    </row>
    <row r="262" spans="1:7">
      <c r="A262" s="255"/>
      <c r="B262" s="94"/>
      <c r="C262" s="85"/>
      <c r="D262" s="114"/>
      <c r="E262" s="95"/>
      <c r="F262" s="342"/>
      <c r="G262" s="86" t="str">
        <f t="shared" si="3"/>
        <v/>
      </c>
    </row>
    <row r="263" spans="1:7">
      <c r="A263" s="255"/>
      <c r="B263" s="94"/>
      <c r="C263" s="85"/>
      <c r="D263" s="114"/>
      <c r="E263" s="95"/>
      <c r="F263" s="95"/>
      <c r="G263" s="86" t="str">
        <f t="shared" si="3"/>
        <v/>
      </c>
    </row>
    <row r="264" spans="1:7">
      <c r="A264" s="255"/>
      <c r="B264" s="94"/>
      <c r="C264" s="85"/>
      <c r="D264" s="114"/>
      <c r="E264" s="95"/>
      <c r="F264" s="95"/>
      <c r="G264" s="86" t="str">
        <f t="shared" si="3"/>
        <v/>
      </c>
    </row>
    <row r="265" spans="1:7">
      <c r="A265" s="255"/>
      <c r="B265" s="94"/>
      <c r="C265" s="85"/>
      <c r="D265" s="114"/>
      <c r="E265" s="95"/>
      <c r="F265" s="95"/>
      <c r="G265" s="86" t="str">
        <f t="shared" si="3"/>
        <v/>
      </c>
    </row>
    <row r="266" spans="1:7">
      <c r="A266" s="255"/>
      <c r="B266" s="94"/>
      <c r="C266" s="85"/>
      <c r="D266" s="114"/>
      <c r="E266" s="95"/>
      <c r="F266" s="342"/>
      <c r="G266" s="86" t="str">
        <f t="shared" si="3"/>
        <v/>
      </c>
    </row>
    <row r="267" spans="1:7">
      <c r="A267" s="255"/>
      <c r="B267" s="94"/>
      <c r="C267" s="85"/>
      <c r="D267" s="114"/>
      <c r="E267" s="95"/>
      <c r="F267" s="95"/>
      <c r="G267" s="86" t="str">
        <f t="shared" si="3"/>
        <v/>
      </c>
    </row>
    <row r="268" spans="1:7">
      <c r="A268" s="255"/>
      <c r="B268" s="94"/>
      <c r="C268" s="85"/>
      <c r="D268" s="114"/>
      <c r="E268" s="95"/>
      <c r="F268" s="95"/>
      <c r="G268" s="86" t="str">
        <f t="shared" ref="G268:G331" si="4">IF(AND(E268="",F268=""),"",(G267+E268)-F268)</f>
        <v/>
      </c>
    </row>
    <row r="269" spans="1:7">
      <c r="A269" s="255"/>
      <c r="B269" s="94"/>
      <c r="C269" s="85"/>
      <c r="D269" s="114"/>
      <c r="E269" s="95"/>
      <c r="F269" s="95"/>
      <c r="G269" s="86" t="str">
        <f t="shared" si="4"/>
        <v/>
      </c>
    </row>
    <row r="270" spans="1:7">
      <c r="A270" s="255"/>
      <c r="B270" s="94"/>
      <c r="C270" s="85"/>
      <c r="D270" s="114"/>
      <c r="E270" s="95"/>
      <c r="F270" s="95"/>
      <c r="G270" s="86" t="str">
        <f t="shared" si="4"/>
        <v/>
      </c>
    </row>
    <row r="271" spans="1:7">
      <c r="A271" s="255"/>
      <c r="B271" s="318"/>
      <c r="C271" s="85"/>
      <c r="D271" s="114"/>
      <c r="E271" s="95"/>
      <c r="F271" s="95"/>
      <c r="G271" s="86" t="str">
        <f t="shared" si="4"/>
        <v/>
      </c>
    </row>
    <row r="272" spans="1:7">
      <c r="A272" s="255"/>
      <c r="B272" s="318"/>
      <c r="C272" s="85"/>
      <c r="D272" s="114"/>
      <c r="E272" s="95"/>
      <c r="F272" s="95"/>
      <c r="G272" s="86" t="str">
        <f t="shared" si="4"/>
        <v/>
      </c>
    </row>
    <row r="273" spans="1:7">
      <c r="A273" s="255"/>
      <c r="B273" s="318"/>
      <c r="C273" s="85"/>
      <c r="D273" s="114"/>
      <c r="E273" s="95"/>
      <c r="F273" s="95"/>
      <c r="G273" s="86" t="str">
        <f t="shared" si="4"/>
        <v/>
      </c>
    </row>
    <row r="274" spans="1:7">
      <c r="A274" s="255"/>
      <c r="B274" s="310"/>
      <c r="C274" s="85"/>
      <c r="D274" s="114"/>
      <c r="E274" s="95"/>
      <c r="F274" s="95"/>
      <c r="G274" s="86" t="str">
        <f t="shared" si="4"/>
        <v/>
      </c>
    </row>
    <row r="275" spans="1:7">
      <c r="A275" s="255"/>
      <c r="B275" s="310"/>
      <c r="C275" s="85"/>
      <c r="D275" s="114"/>
      <c r="E275" s="95"/>
      <c r="F275" s="95"/>
      <c r="G275" s="86" t="str">
        <f t="shared" si="4"/>
        <v/>
      </c>
    </row>
    <row r="276" spans="1:7">
      <c r="A276" s="255"/>
      <c r="B276" s="310"/>
      <c r="C276" s="85"/>
      <c r="D276" s="114"/>
      <c r="E276" s="95"/>
      <c r="F276" s="95"/>
      <c r="G276" s="86" t="str">
        <f t="shared" si="4"/>
        <v/>
      </c>
    </row>
    <row r="277" spans="1:7">
      <c r="A277" s="255"/>
      <c r="B277" s="310"/>
      <c r="C277" s="85"/>
      <c r="D277" s="114"/>
      <c r="E277" s="95"/>
      <c r="F277" s="95"/>
      <c r="G277" s="86" t="str">
        <f t="shared" si="4"/>
        <v/>
      </c>
    </row>
    <row r="278" spans="1:7">
      <c r="A278" s="255"/>
      <c r="B278" s="310"/>
      <c r="C278" s="85"/>
      <c r="D278" s="114"/>
      <c r="E278" s="95"/>
      <c r="F278" s="95"/>
      <c r="G278" s="86" t="str">
        <f t="shared" si="4"/>
        <v/>
      </c>
    </row>
    <row r="279" spans="1:7">
      <c r="A279" s="255"/>
      <c r="B279" s="94"/>
      <c r="C279" s="85"/>
      <c r="D279" s="114"/>
      <c r="E279" s="95"/>
      <c r="F279" s="342"/>
      <c r="G279" s="86" t="str">
        <f t="shared" si="4"/>
        <v/>
      </c>
    </row>
    <row r="280" spans="1:7">
      <c r="A280" s="255"/>
      <c r="B280" s="94"/>
      <c r="C280" s="85"/>
      <c r="D280" s="114"/>
      <c r="E280" s="95"/>
      <c r="F280" s="95"/>
      <c r="G280" s="86" t="str">
        <f t="shared" si="4"/>
        <v/>
      </c>
    </row>
    <row r="281" spans="1:7">
      <c r="A281" s="255"/>
      <c r="B281" s="94"/>
      <c r="C281" s="85"/>
      <c r="D281" s="114"/>
      <c r="E281" s="95"/>
      <c r="F281" s="96"/>
      <c r="G281" s="86" t="str">
        <f t="shared" si="4"/>
        <v/>
      </c>
    </row>
    <row r="282" spans="1:7">
      <c r="A282" s="255"/>
      <c r="B282" s="321"/>
      <c r="C282" s="85"/>
      <c r="D282" s="114"/>
      <c r="E282" s="86"/>
      <c r="F282" s="90"/>
      <c r="G282" s="86" t="str">
        <f t="shared" si="4"/>
        <v/>
      </c>
    </row>
    <row r="283" spans="1:7">
      <c r="A283" s="255"/>
      <c r="B283" s="321"/>
      <c r="C283" s="85"/>
      <c r="D283" s="114"/>
      <c r="E283" s="86"/>
      <c r="F283" s="90"/>
      <c r="G283" s="86" t="str">
        <f t="shared" si="4"/>
        <v/>
      </c>
    </row>
    <row r="284" spans="1:7">
      <c r="A284" s="255"/>
      <c r="B284" s="322"/>
      <c r="C284" s="85"/>
      <c r="D284" s="114"/>
      <c r="E284" s="86"/>
      <c r="F284" s="343"/>
      <c r="G284" s="86" t="str">
        <f t="shared" si="4"/>
        <v/>
      </c>
    </row>
    <row r="285" spans="1:7">
      <c r="A285" s="255"/>
      <c r="B285" s="323"/>
      <c r="C285" s="85"/>
      <c r="D285" s="114"/>
      <c r="E285" s="86"/>
      <c r="F285" s="90"/>
      <c r="G285" s="86" t="str">
        <f t="shared" si="4"/>
        <v/>
      </c>
    </row>
    <row r="286" spans="1:7">
      <c r="A286" s="255"/>
      <c r="B286" s="323"/>
      <c r="C286" s="85"/>
      <c r="D286" s="114"/>
      <c r="E286" s="86"/>
      <c r="F286" s="90"/>
      <c r="G286" s="86" t="str">
        <f t="shared" si="4"/>
        <v/>
      </c>
    </row>
    <row r="287" spans="1:7">
      <c r="A287" s="255"/>
      <c r="B287" s="324"/>
      <c r="C287" s="85"/>
      <c r="D287" s="114"/>
      <c r="E287" s="93"/>
      <c r="F287" s="92"/>
      <c r="G287" s="86" t="str">
        <f t="shared" si="4"/>
        <v/>
      </c>
    </row>
    <row r="288" spans="1:7">
      <c r="A288" s="255"/>
      <c r="B288" s="324"/>
      <c r="C288" s="85"/>
      <c r="D288" s="114"/>
      <c r="E288" s="93"/>
      <c r="F288" s="92"/>
      <c r="G288" s="86" t="str">
        <f t="shared" si="4"/>
        <v/>
      </c>
    </row>
    <row r="289" spans="1:7">
      <c r="A289" s="255"/>
      <c r="B289" s="324"/>
      <c r="C289" s="85"/>
      <c r="D289" s="114"/>
      <c r="E289" s="93"/>
      <c r="F289" s="93"/>
      <c r="G289" s="86" t="str">
        <f t="shared" si="4"/>
        <v/>
      </c>
    </row>
    <row r="290" spans="1:7">
      <c r="A290" s="255"/>
      <c r="B290" s="324"/>
      <c r="C290" s="85"/>
      <c r="D290" s="114"/>
      <c r="E290" s="93"/>
      <c r="F290" s="93"/>
      <c r="G290" s="86" t="str">
        <f t="shared" si="4"/>
        <v/>
      </c>
    </row>
    <row r="291" spans="1:7">
      <c r="A291" s="255"/>
      <c r="B291" s="324"/>
      <c r="C291" s="85"/>
      <c r="D291" s="114"/>
      <c r="E291" s="93"/>
      <c r="F291" s="93"/>
      <c r="G291" s="86" t="str">
        <f t="shared" si="4"/>
        <v/>
      </c>
    </row>
    <row r="292" spans="1:7">
      <c r="A292" s="255"/>
      <c r="B292" s="324"/>
      <c r="C292" s="85"/>
      <c r="D292" s="114"/>
      <c r="E292" s="93"/>
      <c r="F292" s="93"/>
      <c r="G292" s="86" t="str">
        <f t="shared" si="4"/>
        <v/>
      </c>
    </row>
    <row r="293" spans="1:7">
      <c r="A293" s="255"/>
      <c r="B293" s="325"/>
      <c r="C293" s="85"/>
      <c r="D293" s="114"/>
      <c r="E293" s="93"/>
      <c r="F293" s="93"/>
      <c r="G293" s="86" t="str">
        <f t="shared" si="4"/>
        <v/>
      </c>
    </row>
    <row r="294" spans="1:7">
      <c r="A294" s="255"/>
      <c r="B294" s="325"/>
      <c r="C294" s="85"/>
      <c r="D294" s="114"/>
      <c r="E294" s="93"/>
      <c r="F294" s="93"/>
      <c r="G294" s="86" t="str">
        <f t="shared" si="4"/>
        <v/>
      </c>
    </row>
    <row r="295" spans="1:7">
      <c r="A295" s="255"/>
      <c r="B295" s="325"/>
      <c r="C295" s="85"/>
      <c r="D295" s="114"/>
      <c r="E295" s="93"/>
      <c r="F295" s="93"/>
      <c r="G295" s="86" t="str">
        <f t="shared" si="4"/>
        <v/>
      </c>
    </row>
    <row r="296" spans="1:7">
      <c r="A296" s="255"/>
      <c r="B296" s="325"/>
      <c r="C296" s="85"/>
      <c r="D296" s="114"/>
      <c r="E296" s="93"/>
      <c r="F296" s="93"/>
      <c r="G296" s="86" t="str">
        <f t="shared" si="4"/>
        <v/>
      </c>
    </row>
    <row r="297" spans="1:7">
      <c r="A297" s="256"/>
      <c r="B297" s="322"/>
      <c r="C297" s="85"/>
      <c r="D297" s="114"/>
      <c r="E297" s="93"/>
      <c r="F297" s="93"/>
      <c r="G297" s="86" t="str">
        <f t="shared" si="4"/>
        <v/>
      </c>
    </row>
    <row r="298" spans="1:7">
      <c r="A298" s="256"/>
      <c r="B298" s="87"/>
      <c r="C298" s="85"/>
      <c r="D298" s="114"/>
      <c r="E298" s="93"/>
      <c r="F298" s="93"/>
      <c r="G298" s="86" t="str">
        <f t="shared" si="4"/>
        <v/>
      </c>
    </row>
    <row r="299" spans="1:7">
      <c r="A299" s="256"/>
      <c r="B299" s="87"/>
      <c r="C299" s="85"/>
      <c r="D299" s="114"/>
      <c r="E299" s="93"/>
      <c r="F299" s="93"/>
      <c r="G299" s="86" t="str">
        <f t="shared" si="4"/>
        <v/>
      </c>
    </row>
    <row r="300" spans="1:7">
      <c r="A300" s="256"/>
      <c r="B300" s="87"/>
      <c r="C300" s="85"/>
      <c r="D300" s="114"/>
      <c r="E300" s="93"/>
      <c r="F300" s="93"/>
      <c r="G300" s="86" t="str">
        <f t="shared" si="4"/>
        <v/>
      </c>
    </row>
    <row r="301" spans="1:7">
      <c r="A301" s="256"/>
      <c r="B301" s="87"/>
      <c r="C301" s="85"/>
      <c r="D301" s="114"/>
      <c r="E301" s="93"/>
      <c r="F301" s="93"/>
      <c r="G301" s="86" t="str">
        <f t="shared" si="4"/>
        <v/>
      </c>
    </row>
    <row r="302" spans="1:7">
      <c r="A302" s="256"/>
      <c r="B302" s="322"/>
      <c r="C302" s="326"/>
      <c r="D302" s="114"/>
      <c r="E302" s="93"/>
      <c r="F302" s="93"/>
      <c r="G302" s="86" t="str">
        <f t="shared" si="4"/>
        <v/>
      </c>
    </row>
    <row r="303" spans="1:7">
      <c r="A303" s="256"/>
      <c r="B303" s="322"/>
      <c r="C303" s="326"/>
      <c r="D303" s="114"/>
      <c r="E303" s="93"/>
      <c r="F303" s="344"/>
      <c r="G303" s="86" t="str">
        <f t="shared" si="4"/>
        <v/>
      </c>
    </row>
    <row r="304" spans="1:7">
      <c r="A304" s="256"/>
      <c r="B304" s="325"/>
      <c r="C304" s="326"/>
      <c r="D304" s="114"/>
      <c r="E304" s="93"/>
      <c r="F304" s="93"/>
      <c r="G304" s="86" t="str">
        <f t="shared" si="4"/>
        <v/>
      </c>
    </row>
    <row r="305" spans="1:14">
      <c r="A305" s="256"/>
      <c r="B305" s="325"/>
      <c r="C305" s="326"/>
      <c r="D305" s="114"/>
      <c r="E305" s="93"/>
      <c r="F305" s="93"/>
      <c r="G305" s="86" t="str">
        <f t="shared" si="4"/>
        <v/>
      </c>
    </row>
    <row r="306" spans="1:14">
      <c r="A306" s="256"/>
      <c r="B306" s="325"/>
      <c r="C306" s="326"/>
      <c r="D306" s="114"/>
      <c r="E306" s="93"/>
      <c r="F306" s="93"/>
      <c r="G306" s="86" t="str">
        <f t="shared" si="4"/>
        <v/>
      </c>
    </row>
    <row r="307" spans="1:14">
      <c r="A307" s="256"/>
      <c r="B307" s="325"/>
      <c r="C307" s="326"/>
      <c r="D307" s="114"/>
      <c r="E307" s="93"/>
      <c r="F307" s="93"/>
      <c r="G307" s="86" t="str">
        <f t="shared" si="4"/>
        <v/>
      </c>
    </row>
    <row r="308" spans="1:14">
      <c r="A308" s="256"/>
      <c r="B308" s="325"/>
      <c r="C308" s="326"/>
      <c r="D308" s="114"/>
      <c r="E308" s="93"/>
      <c r="F308" s="344"/>
      <c r="G308" s="86" t="str">
        <f t="shared" si="4"/>
        <v/>
      </c>
      <c r="M308" s="85" t="s">
        <v>209</v>
      </c>
      <c r="N308" s="327">
        <v>20775000</v>
      </c>
    </row>
    <row r="309" spans="1:14">
      <c r="A309" s="256"/>
      <c r="B309" s="325"/>
      <c r="C309" s="326"/>
      <c r="D309" s="114"/>
      <c r="E309" s="93"/>
      <c r="F309" s="93"/>
      <c r="G309" s="86" t="str">
        <f t="shared" si="4"/>
        <v/>
      </c>
      <c r="M309" s="85" t="s">
        <v>208</v>
      </c>
      <c r="N309" s="327">
        <v>4190000</v>
      </c>
    </row>
    <row r="310" spans="1:14">
      <c r="A310" s="256"/>
      <c r="B310" s="325"/>
      <c r="C310" s="326"/>
      <c r="D310" s="114"/>
      <c r="E310" s="93"/>
      <c r="F310" s="93"/>
      <c r="G310" s="86" t="str">
        <f t="shared" si="4"/>
        <v/>
      </c>
      <c r="M310" s="85" t="s">
        <v>210</v>
      </c>
      <c r="N310" s="93">
        <v>3100000</v>
      </c>
    </row>
    <row r="311" spans="1:14">
      <c r="A311" s="256"/>
      <c r="B311" s="325"/>
      <c r="C311" s="326"/>
      <c r="D311" s="114"/>
      <c r="E311" s="93"/>
      <c r="F311" s="93"/>
      <c r="G311" s="86" t="str">
        <f t="shared" si="4"/>
        <v/>
      </c>
      <c r="M311" s="85" t="s">
        <v>211</v>
      </c>
      <c r="N311" s="93">
        <v>2000000</v>
      </c>
    </row>
    <row r="312" spans="1:14">
      <c r="A312" s="256"/>
      <c r="B312" s="325"/>
      <c r="C312" s="326"/>
      <c r="D312" s="114"/>
      <c r="E312" s="93"/>
      <c r="F312" s="93"/>
      <c r="G312" s="86" t="str">
        <f t="shared" si="4"/>
        <v/>
      </c>
      <c r="M312" s="85" t="s">
        <v>212</v>
      </c>
      <c r="N312" s="93">
        <v>4700000</v>
      </c>
    </row>
    <row r="313" spans="1:14">
      <c r="A313" s="256"/>
      <c r="B313" s="325"/>
      <c r="C313" s="326"/>
      <c r="D313" s="114"/>
      <c r="E313" s="93"/>
      <c r="F313" s="93"/>
      <c r="G313" s="86" t="str">
        <f t="shared" si="4"/>
        <v/>
      </c>
      <c r="M313" s="85" t="s">
        <v>213</v>
      </c>
      <c r="N313" s="93">
        <v>3100000</v>
      </c>
    </row>
    <row r="314" spans="1:14">
      <c r="A314" s="256"/>
      <c r="B314" s="322"/>
      <c r="C314" s="326"/>
      <c r="D314" s="114"/>
      <c r="E314" s="93"/>
      <c r="F314" s="344"/>
      <c r="G314" s="86" t="str">
        <f t="shared" si="4"/>
        <v/>
      </c>
      <c r="M314" s="85"/>
    </row>
    <row r="315" spans="1:14">
      <c r="A315" s="256"/>
      <c r="B315" s="322"/>
      <c r="C315" s="326"/>
      <c r="D315" s="114"/>
      <c r="E315" s="93"/>
      <c r="F315" s="93"/>
      <c r="G315" s="86" t="str">
        <f t="shared" si="4"/>
        <v/>
      </c>
    </row>
    <row r="316" spans="1:14">
      <c r="A316" s="256"/>
      <c r="B316" s="322"/>
      <c r="C316" s="326"/>
      <c r="D316" s="114"/>
      <c r="E316" s="93"/>
      <c r="F316" s="93"/>
      <c r="G316" s="86" t="str">
        <f t="shared" si="4"/>
        <v/>
      </c>
    </row>
    <row r="317" spans="1:14">
      <c r="A317" s="256"/>
      <c r="B317" s="322"/>
      <c r="C317" s="326"/>
      <c r="D317" s="114"/>
      <c r="E317" s="93"/>
      <c r="F317" s="93"/>
      <c r="G317" s="86" t="str">
        <f t="shared" si="4"/>
        <v/>
      </c>
    </row>
    <row r="318" spans="1:14">
      <c r="A318" s="256"/>
      <c r="B318" s="322"/>
      <c r="C318" s="326"/>
      <c r="D318" s="114"/>
      <c r="E318" s="93"/>
      <c r="F318" s="93"/>
      <c r="G318" s="86" t="str">
        <f t="shared" si="4"/>
        <v/>
      </c>
    </row>
    <row r="319" spans="1:14">
      <c r="A319" s="256"/>
      <c r="B319" s="322"/>
      <c r="C319" s="85"/>
      <c r="D319" s="114"/>
      <c r="E319" s="93"/>
      <c r="F319" s="344"/>
      <c r="G319" s="86" t="str">
        <f t="shared" si="4"/>
        <v/>
      </c>
    </row>
    <row r="320" spans="1:14">
      <c r="A320" s="256"/>
      <c r="B320" s="87"/>
      <c r="C320" s="85"/>
      <c r="D320" s="114"/>
      <c r="E320" s="93"/>
      <c r="F320" s="344"/>
      <c r="G320" s="86" t="str">
        <f t="shared" si="4"/>
        <v/>
      </c>
    </row>
    <row r="321" spans="1:8">
      <c r="A321" s="256"/>
      <c r="B321" s="87"/>
      <c r="C321" s="85"/>
      <c r="D321" s="114"/>
      <c r="E321" s="93"/>
      <c r="F321" s="93"/>
      <c r="G321" s="86" t="str">
        <f t="shared" si="4"/>
        <v/>
      </c>
    </row>
    <row r="322" spans="1:8" ht="18.75">
      <c r="A322" s="256"/>
      <c r="B322" s="87"/>
      <c r="C322" s="85"/>
      <c r="D322" s="114"/>
      <c r="E322" s="93"/>
      <c r="F322" s="93"/>
      <c r="G322" s="86" t="str">
        <f t="shared" si="4"/>
        <v/>
      </c>
      <c r="H322" s="308">
        <v>158397000</v>
      </c>
    </row>
    <row r="323" spans="1:8">
      <c r="A323" s="256"/>
      <c r="B323" s="87"/>
      <c r="C323" s="85"/>
      <c r="D323" s="114"/>
      <c r="E323" s="93"/>
      <c r="F323" s="93"/>
      <c r="G323" s="86" t="str">
        <f t="shared" si="4"/>
        <v/>
      </c>
    </row>
    <row r="324" spans="1:8">
      <c r="A324" s="256"/>
      <c r="B324" s="87"/>
      <c r="C324" s="85"/>
      <c r="D324" s="114"/>
      <c r="E324" s="93"/>
      <c r="F324" s="93"/>
      <c r="G324" s="86" t="str">
        <f t="shared" si="4"/>
        <v/>
      </c>
    </row>
    <row r="325" spans="1:8">
      <c r="A325" s="256"/>
      <c r="B325" s="87"/>
      <c r="C325" s="85"/>
      <c r="D325" s="114"/>
      <c r="E325" s="93"/>
      <c r="F325" s="93"/>
      <c r="G325" s="86" t="str">
        <f t="shared" si="4"/>
        <v/>
      </c>
    </row>
    <row r="326" spans="1:8">
      <c r="A326" s="256"/>
      <c r="B326" s="87"/>
      <c r="C326" s="85"/>
      <c r="D326" s="114"/>
      <c r="E326" s="93"/>
      <c r="F326" s="93"/>
      <c r="G326" s="86" t="str">
        <f t="shared" si="4"/>
        <v/>
      </c>
    </row>
    <row r="327" spans="1:8">
      <c r="A327" s="256"/>
      <c r="B327" s="87"/>
      <c r="C327" s="85"/>
      <c r="D327" s="114"/>
      <c r="E327" s="93"/>
      <c r="F327" s="93"/>
      <c r="G327" s="86" t="str">
        <f t="shared" si="4"/>
        <v/>
      </c>
    </row>
    <row r="328" spans="1:8">
      <c r="A328" s="256"/>
      <c r="B328" s="87"/>
      <c r="C328" s="85"/>
      <c r="D328" s="114"/>
      <c r="E328" s="93"/>
      <c r="F328" s="93"/>
      <c r="G328" s="86" t="str">
        <f t="shared" si="4"/>
        <v/>
      </c>
    </row>
    <row r="329" spans="1:8">
      <c r="A329" s="256"/>
      <c r="B329" s="87"/>
      <c r="C329" s="85"/>
      <c r="D329" s="114"/>
      <c r="E329" s="93"/>
      <c r="F329" s="93"/>
      <c r="G329" s="86" t="str">
        <f t="shared" si="4"/>
        <v/>
      </c>
    </row>
    <row r="330" spans="1:8">
      <c r="A330" s="256"/>
      <c r="B330" s="87"/>
      <c r="C330" s="85"/>
      <c r="D330" s="114"/>
      <c r="E330" s="93"/>
      <c r="F330" s="93"/>
      <c r="G330" s="86" t="str">
        <f t="shared" si="4"/>
        <v/>
      </c>
    </row>
    <row r="331" spans="1:8">
      <c r="A331" s="256"/>
      <c r="B331" s="87"/>
      <c r="C331" s="85"/>
      <c r="D331" s="114"/>
      <c r="E331" s="93"/>
      <c r="F331" s="93"/>
      <c r="G331" s="86" t="str">
        <f t="shared" si="4"/>
        <v/>
      </c>
    </row>
    <row r="332" spans="1:8">
      <c r="A332" s="256"/>
      <c r="B332" s="87"/>
      <c r="C332" s="85"/>
      <c r="D332" s="114"/>
      <c r="E332" s="93"/>
      <c r="F332" s="93"/>
      <c r="G332" s="86" t="str">
        <f t="shared" ref="G332:G604" si="5">IF(AND(E332="",F332=""),"",(G331+E332)-F332)</f>
        <v/>
      </c>
    </row>
    <row r="333" spans="1:8">
      <c r="A333" s="256"/>
      <c r="B333" s="87"/>
      <c r="C333" s="85"/>
      <c r="D333" s="114"/>
      <c r="E333" s="93"/>
      <c r="F333" s="93"/>
      <c r="G333" s="86" t="str">
        <f t="shared" si="5"/>
        <v/>
      </c>
    </row>
    <row r="334" spans="1:8">
      <c r="A334" s="256"/>
      <c r="B334" s="87"/>
      <c r="C334" s="85"/>
      <c r="D334" s="114"/>
      <c r="E334" s="93"/>
      <c r="F334" s="93"/>
      <c r="G334" s="86" t="str">
        <f t="shared" si="5"/>
        <v/>
      </c>
    </row>
    <row r="335" spans="1:8">
      <c r="A335" s="256"/>
      <c r="B335" s="87"/>
      <c r="C335" s="85"/>
      <c r="D335" s="114"/>
      <c r="E335" s="93"/>
      <c r="F335" s="93"/>
      <c r="G335" s="86" t="str">
        <f t="shared" si="5"/>
        <v/>
      </c>
    </row>
    <row r="336" spans="1:8">
      <c r="A336" s="330"/>
      <c r="B336" s="331"/>
      <c r="C336" s="264"/>
      <c r="D336" s="265"/>
      <c r="E336" s="327"/>
      <c r="F336" s="344"/>
      <c r="G336" s="86" t="str">
        <f t="shared" si="5"/>
        <v/>
      </c>
    </row>
    <row r="337" spans="1:7">
      <c r="A337" s="329"/>
      <c r="B337" s="310"/>
      <c r="C337" s="85"/>
      <c r="D337" s="114"/>
      <c r="E337" s="93"/>
      <c r="F337" s="93"/>
      <c r="G337" s="86" t="str">
        <f t="shared" si="5"/>
        <v/>
      </c>
    </row>
    <row r="338" spans="1:7">
      <c r="A338" s="329"/>
      <c r="B338" s="310"/>
      <c r="C338" s="85"/>
      <c r="D338" s="114"/>
      <c r="E338" s="95"/>
      <c r="F338" s="95"/>
      <c r="G338" s="86" t="str">
        <f t="shared" si="5"/>
        <v/>
      </c>
    </row>
    <row r="339" spans="1:7">
      <c r="A339" s="329"/>
      <c r="B339" s="310"/>
      <c r="C339" s="85"/>
      <c r="D339" s="114"/>
      <c r="E339" s="95"/>
      <c r="F339" s="95"/>
      <c r="G339" s="86" t="str">
        <f t="shared" si="5"/>
        <v/>
      </c>
    </row>
    <row r="340" spans="1:7">
      <c r="A340" s="256"/>
      <c r="B340" s="328"/>
      <c r="C340" s="85"/>
      <c r="D340" s="114"/>
      <c r="E340" s="95"/>
      <c r="F340" s="342"/>
      <c r="G340" s="86" t="str">
        <f t="shared" si="5"/>
        <v/>
      </c>
    </row>
    <row r="341" spans="1:7">
      <c r="A341" s="256"/>
      <c r="B341" s="94"/>
      <c r="C341" s="157"/>
      <c r="D341" s="114"/>
      <c r="E341" s="95"/>
      <c r="F341" s="95"/>
      <c r="G341" s="86" t="str">
        <f t="shared" si="5"/>
        <v/>
      </c>
    </row>
    <row r="342" spans="1:7">
      <c r="A342" s="256"/>
      <c r="B342" s="94"/>
      <c r="C342" s="157"/>
      <c r="D342" s="114"/>
      <c r="E342" s="95"/>
      <c r="F342" s="95"/>
      <c r="G342" s="86" t="str">
        <f t="shared" si="5"/>
        <v/>
      </c>
    </row>
    <row r="343" spans="1:7">
      <c r="A343" s="256"/>
      <c r="B343" s="94"/>
      <c r="C343" s="157"/>
      <c r="D343" s="114"/>
      <c r="E343" s="95"/>
      <c r="F343" s="342"/>
      <c r="G343" s="86" t="str">
        <f t="shared" si="5"/>
        <v/>
      </c>
    </row>
    <row r="344" spans="1:7">
      <c r="A344" s="329"/>
      <c r="B344" s="310"/>
      <c r="C344" s="157"/>
      <c r="D344" s="114"/>
      <c r="E344" s="95"/>
      <c r="F344" s="95"/>
      <c r="G344" s="86" t="str">
        <f t="shared" si="5"/>
        <v/>
      </c>
    </row>
    <row r="345" spans="1:7">
      <c r="A345" s="329"/>
      <c r="B345" s="310"/>
      <c r="C345" s="157"/>
      <c r="D345" s="114"/>
      <c r="E345" s="95"/>
      <c r="F345" s="95"/>
      <c r="G345" s="86" t="str">
        <f t="shared" si="5"/>
        <v/>
      </c>
    </row>
    <row r="346" spans="1:7">
      <c r="A346" s="329"/>
      <c r="B346" s="310"/>
      <c r="C346" s="157"/>
      <c r="D346" s="114"/>
      <c r="E346" s="95"/>
      <c r="F346" s="95"/>
      <c r="G346" s="86" t="str">
        <f t="shared" si="5"/>
        <v/>
      </c>
    </row>
    <row r="347" spans="1:7">
      <c r="A347" s="329"/>
      <c r="B347" s="310"/>
      <c r="C347" s="157"/>
      <c r="D347" s="114"/>
      <c r="E347" s="95"/>
      <c r="F347" s="95"/>
      <c r="G347" s="86" t="str">
        <f t="shared" si="5"/>
        <v/>
      </c>
    </row>
    <row r="348" spans="1:7">
      <c r="A348" s="329"/>
      <c r="B348" s="157"/>
      <c r="C348" s="157"/>
      <c r="D348" s="114"/>
      <c r="E348" s="95"/>
      <c r="F348" s="95"/>
      <c r="G348" s="86" t="str">
        <f t="shared" si="5"/>
        <v/>
      </c>
    </row>
    <row r="349" spans="1:7">
      <c r="A349" s="329"/>
      <c r="B349" s="310"/>
      <c r="C349" s="157"/>
      <c r="D349" s="114"/>
      <c r="E349" s="95"/>
      <c r="F349" s="95"/>
      <c r="G349" s="86" t="str">
        <f t="shared" si="5"/>
        <v/>
      </c>
    </row>
    <row r="350" spans="1:7">
      <c r="A350" s="329"/>
      <c r="B350" s="310"/>
      <c r="C350" s="157"/>
      <c r="D350" s="114"/>
      <c r="E350" s="95"/>
      <c r="F350" s="95"/>
      <c r="G350" s="86" t="str">
        <f t="shared" si="5"/>
        <v/>
      </c>
    </row>
    <row r="351" spans="1:7">
      <c r="A351" s="329"/>
      <c r="B351" s="310"/>
      <c r="C351" s="157"/>
      <c r="D351" s="114"/>
      <c r="E351" s="95"/>
      <c r="F351" s="95"/>
      <c r="G351" s="86" t="str">
        <f t="shared" si="5"/>
        <v/>
      </c>
    </row>
    <row r="352" spans="1:7">
      <c r="A352" s="329"/>
      <c r="B352" s="310"/>
      <c r="C352" s="157"/>
      <c r="D352" s="114"/>
      <c r="E352" s="95"/>
      <c r="F352" s="95"/>
      <c r="G352" s="86" t="str">
        <f t="shared" si="5"/>
        <v/>
      </c>
    </row>
    <row r="353" spans="1:7" ht="15">
      <c r="A353" s="329"/>
      <c r="B353" s="310"/>
      <c r="C353" s="157"/>
      <c r="D353" s="114"/>
      <c r="E353" s="95"/>
      <c r="F353" s="345"/>
      <c r="G353" s="86" t="str">
        <f t="shared" si="5"/>
        <v/>
      </c>
    </row>
    <row r="354" spans="1:7">
      <c r="A354" s="329"/>
      <c r="B354" s="94"/>
      <c r="C354" s="157"/>
      <c r="D354" s="114"/>
      <c r="E354" s="95"/>
      <c r="F354" s="95"/>
      <c r="G354" s="86" t="str">
        <f t="shared" si="5"/>
        <v/>
      </c>
    </row>
    <row r="355" spans="1:7">
      <c r="A355" s="329"/>
      <c r="B355" s="94"/>
      <c r="C355" s="157"/>
      <c r="D355" s="114"/>
      <c r="E355" s="95"/>
      <c r="F355" s="95"/>
      <c r="G355" s="86" t="str">
        <f t="shared" si="5"/>
        <v/>
      </c>
    </row>
    <row r="356" spans="1:7">
      <c r="A356" s="329"/>
      <c r="B356" s="94"/>
      <c r="C356" s="157"/>
      <c r="D356" s="114"/>
      <c r="E356" s="95"/>
      <c r="F356" s="95"/>
      <c r="G356" s="86" t="str">
        <f t="shared" si="5"/>
        <v/>
      </c>
    </row>
    <row r="357" spans="1:7">
      <c r="A357" s="329"/>
      <c r="B357" s="94"/>
      <c r="C357" s="157"/>
      <c r="D357" s="114"/>
      <c r="E357" s="95"/>
      <c r="F357" s="95"/>
      <c r="G357" s="86" t="str">
        <f t="shared" si="5"/>
        <v/>
      </c>
    </row>
    <row r="358" spans="1:7">
      <c r="A358" s="329"/>
      <c r="B358" s="94"/>
      <c r="C358" s="157"/>
      <c r="D358" s="114"/>
      <c r="E358" s="95"/>
      <c r="F358" s="95"/>
      <c r="G358" s="86" t="str">
        <f t="shared" si="5"/>
        <v/>
      </c>
    </row>
    <row r="359" spans="1:7" ht="13.5" customHeight="1">
      <c r="A359" s="329"/>
      <c r="B359" s="94"/>
      <c r="C359" s="157"/>
      <c r="D359" s="114"/>
      <c r="E359" s="95"/>
      <c r="F359" s="95"/>
      <c r="G359" s="86" t="str">
        <f t="shared" si="5"/>
        <v/>
      </c>
    </row>
    <row r="360" spans="1:7">
      <c r="A360" s="329"/>
      <c r="B360" s="94"/>
      <c r="C360" s="157"/>
      <c r="D360" s="114"/>
      <c r="E360" s="95"/>
      <c r="F360" s="95"/>
      <c r="G360" s="86" t="str">
        <f t="shared" si="5"/>
        <v/>
      </c>
    </row>
    <row r="361" spans="1:7">
      <c r="A361" s="329"/>
      <c r="B361" s="94"/>
      <c r="C361" s="157"/>
      <c r="D361" s="114"/>
      <c r="E361" s="95"/>
      <c r="F361" s="95"/>
      <c r="G361" s="86" t="str">
        <f t="shared" si="5"/>
        <v/>
      </c>
    </row>
    <row r="362" spans="1:7">
      <c r="A362" s="329"/>
      <c r="B362" s="94"/>
      <c r="C362" s="157"/>
      <c r="D362" s="114"/>
      <c r="E362" s="95"/>
      <c r="F362" s="95"/>
      <c r="G362" s="86" t="str">
        <f t="shared" si="5"/>
        <v/>
      </c>
    </row>
    <row r="363" spans="1:7">
      <c r="A363" s="329"/>
      <c r="B363" s="94"/>
      <c r="C363" s="157"/>
      <c r="D363" s="114"/>
      <c r="E363" s="95"/>
      <c r="F363" s="95"/>
      <c r="G363" s="86" t="str">
        <f t="shared" si="5"/>
        <v/>
      </c>
    </row>
    <row r="364" spans="1:7">
      <c r="A364" s="329"/>
      <c r="B364" s="94"/>
      <c r="C364" s="157"/>
      <c r="D364" s="114"/>
      <c r="E364" s="95"/>
      <c r="F364" s="95"/>
      <c r="G364" s="86" t="str">
        <f t="shared" si="5"/>
        <v/>
      </c>
    </row>
    <row r="365" spans="1:7">
      <c r="A365" s="329"/>
      <c r="B365" s="94"/>
      <c r="C365" s="157"/>
      <c r="D365" s="114"/>
      <c r="E365" s="95"/>
      <c r="F365" s="95"/>
      <c r="G365" s="86" t="str">
        <f t="shared" si="5"/>
        <v/>
      </c>
    </row>
    <row r="366" spans="1:7">
      <c r="A366" s="256"/>
      <c r="B366" s="94"/>
      <c r="C366" s="157"/>
      <c r="D366" s="114"/>
      <c r="E366" s="95"/>
      <c r="F366" s="95"/>
      <c r="G366" s="86" t="str">
        <f t="shared" si="5"/>
        <v/>
      </c>
    </row>
    <row r="367" spans="1:7">
      <c r="A367" s="256"/>
      <c r="B367" s="94"/>
      <c r="C367" s="157"/>
      <c r="D367" s="114"/>
      <c r="E367" s="95"/>
      <c r="F367" s="95"/>
      <c r="G367" s="86" t="str">
        <f t="shared" si="5"/>
        <v/>
      </c>
    </row>
    <row r="368" spans="1:7">
      <c r="A368" s="256"/>
      <c r="B368" s="94"/>
      <c r="C368" s="157"/>
      <c r="D368" s="114"/>
      <c r="E368" s="95"/>
      <c r="F368" s="95"/>
      <c r="G368" s="86" t="str">
        <f t="shared" si="5"/>
        <v/>
      </c>
    </row>
    <row r="369" spans="1:7">
      <c r="A369" s="256"/>
      <c r="B369" s="94"/>
      <c r="C369" s="157"/>
      <c r="D369" s="114"/>
      <c r="E369" s="95"/>
      <c r="F369" s="95"/>
      <c r="G369" s="86" t="str">
        <f t="shared" si="5"/>
        <v/>
      </c>
    </row>
    <row r="370" spans="1:7">
      <c r="A370" s="256"/>
      <c r="B370" s="94"/>
      <c r="C370" s="157"/>
      <c r="D370" s="114"/>
      <c r="E370" s="95"/>
      <c r="F370" s="95"/>
      <c r="G370" s="86" t="str">
        <f t="shared" si="5"/>
        <v/>
      </c>
    </row>
    <row r="371" spans="1:7">
      <c r="A371" s="256"/>
      <c r="B371" s="94"/>
      <c r="C371" s="157"/>
      <c r="D371" s="114"/>
      <c r="E371" s="95"/>
      <c r="F371" s="95"/>
      <c r="G371" s="86" t="str">
        <f t="shared" si="5"/>
        <v/>
      </c>
    </row>
    <row r="372" spans="1:7">
      <c r="A372" s="256"/>
      <c r="B372" s="94"/>
      <c r="C372" s="157"/>
      <c r="D372" s="114"/>
      <c r="E372" s="95"/>
      <c r="F372" s="95"/>
      <c r="G372" s="86" t="str">
        <f t="shared" si="5"/>
        <v/>
      </c>
    </row>
    <row r="373" spans="1:7">
      <c r="A373" s="256"/>
      <c r="B373" s="94"/>
      <c r="C373" s="157"/>
      <c r="D373" s="114"/>
      <c r="E373" s="95"/>
      <c r="F373" s="95"/>
      <c r="G373" s="86" t="str">
        <f t="shared" si="5"/>
        <v/>
      </c>
    </row>
    <row r="374" spans="1:7">
      <c r="A374" s="256"/>
      <c r="B374" s="94"/>
      <c r="C374" s="157"/>
      <c r="D374" s="114"/>
      <c r="E374" s="95"/>
      <c r="F374" s="95"/>
      <c r="G374" s="86" t="str">
        <f t="shared" si="5"/>
        <v/>
      </c>
    </row>
    <row r="375" spans="1:7">
      <c r="A375" s="256"/>
      <c r="B375" s="94"/>
      <c r="C375" s="157"/>
      <c r="D375" s="114"/>
      <c r="E375" s="95"/>
      <c r="F375" s="95"/>
      <c r="G375" s="86" t="str">
        <f t="shared" si="5"/>
        <v/>
      </c>
    </row>
    <row r="376" spans="1:7">
      <c r="A376" s="256"/>
      <c r="B376" s="94"/>
      <c r="C376" s="157"/>
      <c r="D376" s="114"/>
      <c r="E376" s="95"/>
      <c r="F376" s="95"/>
      <c r="G376" s="86" t="str">
        <f t="shared" si="5"/>
        <v/>
      </c>
    </row>
    <row r="377" spans="1:7">
      <c r="A377" s="256"/>
      <c r="B377" s="94"/>
      <c r="C377" s="157"/>
      <c r="D377" s="114"/>
      <c r="E377" s="95"/>
      <c r="F377" s="95"/>
      <c r="G377" s="86" t="str">
        <f t="shared" si="5"/>
        <v/>
      </c>
    </row>
    <row r="378" spans="1:7">
      <c r="A378" s="256"/>
      <c r="B378" s="94"/>
      <c r="C378" s="157"/>
      <c r="D378" s="114"/>
      <c r="E378" s="95"/>
      <c r="F378" s="95"/>
      <c r="G378" s="86" t="str">
        <f t="shared" si="5"/>
        <v/>
      </c>
    </row>
    <row r="379" spans="1:7">
      <c r="A379" s="256"/>
      <c r="B379" s="94"/>
      <c r="C379" s="157"/>
      <c r="D379" s="114"/>
      <c r="E379" s="95"/>
      <c r="F379" s="95"/>
      <c r="G379" s="86" t="str">
        <f t="shared" si="5"/>
        <v/>
      </c>
    </row>
    <row r="380" spans="1:7">
      <c r="A380" s="256"/>
      <c r="B380" s="94"/>
      <c r="C380" s="157"/>
      <c r="D380" s="114"/>
      <c r="E380" s="95"/>
      <c r="F380" s="95"/>
      <c r="G380" s="86" t="str">
        <f t="shared" si="5"/>
        <v/>
      </c>
    </row>
    <row r="381" spans="1:7">
      <c r="A381" s="256"/>
      <c r="B381" s="94"/>
      <c r="C381" s="157"/>
      <c r="D381" s="114"/>
      <c r="E381" s="95"/>
      <c r="F381" s="95"/>
      <c r="G381" s="86" t="str">
        <f t="shared" si="5"/>
        <v/>
      </c>
    </row>
    <row r="382" spans="1:7">
      <c r="A382" s="256"/>
      <c r="B382" s="94"/>
      <c r="C382" s="157"/>
      <c r="D382" s="114"/>
      <c r="E382" s="95"/>
      <c r="F382" s="95"/>
      <c r="G382" s="86" t="str">
        <f t="shared" si="5"/>
        <v/>
      </c>
    </row>
    <row r="383" spans="1:7">
      <c r="A383" s="256"/>
      <c r="B383" s="94"/>
      <c r="C383" s="157"/>
      <c r="D383" s="114"/>
      <c r="E383" s="95"/>
      <c r="F383" s="95"/>
      <c r="G383" s="86" t="str">
        <f t="shared" si="5"/>
        <v/>
      </c>
    </row>
    <row r="384" spans="1:7">
      <c r="A384" s="256"/>
      <c r="B384" s="94"/>
      <c r="C384" s="157"/>
      <c r="D384" s="114"/>
      <c r="E384" s="95"/>
      <c r="F384" s="95"/>
      <c r="G384" s="86" t="str">
        <f t="shared" si="5"/>
        <v/>
      </c>
    </row>
    <row r="385" spans="1:7">
      <c r="A385" s="256"/>
      <c r="B385" s="94"/>
      <c r="C385" s="157"/>
      <c r="D385" s="114"/>
      <c r="E385" s="95"/>
      <c r="F385" s="95"/>
      <c r="G385" s="86" t="str">
        <f t="shared" si="5"/>
        <v/>
      </c>
    </row>
    <row r="386" spans="1:7">
      <c r="A386" s="256"/>
      <c r="B386" s="94"/>
      <c r="C386" s="157"/>
      <c r="D386" s="114"/>
      <c r="E386" s="95"/>
      <c r="F386" s="95"/>
      <c r="G386" s="86" t="str">
        <f t="shared" si="5"/>
        <v/>
      </c>
    </row>
    <row r="387" spans="1:7">
      <c r="A387" s="256"/>
      <c r="B387" s="94"/>
      <c r="C387" s="157"/>
      <c r="D387" s="114"/>
      <c r="E387" s="95"/>
      <c r="F387" s="95"/>
      <c r="G387" s="86" t="str">
        <f t="shared" si="5"/>
        <v/>
      </c>
    </row>
    <row r="388" spans="1:7">
      <c r="A388" s="256"/>
      <c r="B388" s="94"/>
      <c r="C388" s="157"/>
      <c r="D388" s="114"/>
      <c r="E388" s="95"/>
      <c r="F388" s="95"/>
      <c r="G388" s="86" t="str">
        <f t="shared" si="5"/>
        <v/>
      </c>
    </row>
    <row r="389" spans="1:7">
      <c r="A389" s="256"/>
      <c r="B389" s="94"/>
      <c r="C389" s="157"/>
      <c r="D389" s="114"/>
      <c r="E389" s="95"/>
      <c r="F389" s="95"/>
      <c r="G389" s="86" t="str">
        <f t="shared" si="5"/>
        <v/>
      </c>
    </row>
    <row r="390" spans="1:7">
      <c r="A390" s="256"/>
      <c r="B390" s="94"/>
      <c r="C390" s="157"/>
      <c r="D390" s="114"/>
      <c r="E390" s="95"/>
      <c r="F390" s="95"/>
      <c r="G390" s="86" t="str">
        <f t="shared" si="5"/>
        <v/>
      </c>
    </row>
    <row r="391" spans="1:7">
      <c r="A391" s="256"/>
      <c r="B391" s="94"/>
      <c r="C391" s="157"/>
      <c r="D391" s="114"/>
      <c r="E391" s="95"/>
      <c r="F391" s="95"/>
      <c r="G391" s="86" t="str">
        <f t="shared" si="5"/>
        <v/>
      </c>
    </row>
    <row r="392" spans="1:7">
      <c r="A392" s="256"/>
      <c r="B392" s="94"/>
      <c r="C392" s="157"/>
      <c r="D392" s="114"/>
      <c r="E392" s="95"/>
      <c r="F392" s="95"/>
      <c r="G392" s="86" t="str">
        <f t="shared" si="5"/>
        <v/>
      </c>
    </row>
    <row r="393" spans="1:7">
      <c r="A393" s="256"/>
      <c r="B393" s="94"/>
      <c r="C393" s="157"/>
      <c r="D393" s="114"/>
      <c r="E393" s="95"/>
      <c r="F393" s="95"/>
      <c r="G393" s="86" t="str">
        <f t="shared" si="5"/>
        <v/>
      </c>
    </row>
    <row r="394" spans="1:7">
      <c r="A394" s="256"/>
      <c r="B394" s="94"/>
      <c r="C394" s="157"/>
      <c r="D394" s="114"/>
      <c r="E394" s="95"/>
      <c r="F394" s="95"/>
      <c r="G394" s="86" t="str">
        <f t="shared" si="5"/>
        <v/>
      </c>
    </row>
    <row r="395" spans="1:7">
      <c r="A395" s="256"/>
      <c r="B395" s="94"/>
      <c r="C395" s="157"/>
      <c r="D395" s="114"/>
      <c r="E395" s="95"/>
      <c r="F395" s="95"/>
      <c r="G395" s="86" t="str">
        <f t="shared" si="5"/>
        <v/>
      </c>
    </row>
    <row r="396" spans="1:7">
      <c r="A396" s="256"/>
      <c r="B396" s="94"/>
      <c r="C396" s="157"/>
      <c r="D396" s="114"/>
      <c r="E396" s="95"/>
      <c r="F396" s="95"/>
      <c r="G396" s="86" t="str">
        <f t="shared" si="5"/>
        <v/>
      </c>
    </row>
    <row r="397" spans="1:7">
      <c r="A397" s="256"/>
      <c r="B397" s="94"/>
      <c r="C397" s="157"/>
      <c r="D397" s="114"/>
      <c r="E397" s="95"/>
      <c r="F397" s="95"/>
      <c r="G397" s="86" t="str">
        <f t="shared" si="5"/>
        <v/>
      </c>
    </row>
    <row r="398" spans="1:7">
      <c r="A398" s="256"/>
      <c r="B398" s="94"/>
      <c r="C398" s="157"/>
      <c r="D398" s="114"/>
      <c r="E398" s="95"/>
      <c r="F398" s="95"/>
      <c r="G398" s="86" t="str">
        <f t="shared" si="5"/>
        <v/>
      </c>
    </row>
    <row r="399" spans="1:7">
      <c r="A399" s="256"/>
      <c r="B399" s="94"/>
      <c r="C399" s="157"/>
      <c r="D399" s="114"/>
      <c r="E399" s="95"/>
      <c r="F399" s="95"/>
      <c r="G399" s="86" t="str">
        <f t="shared" si="5"/>
        <v/>
      </c>
    </row>
    <row r="400" spans="1:7">
      <c r="A400" s="256"/>
      <c r="B400" s="94"/>
      <c r="C400" s="157"/>
      <c r="D400" s="114"/>
      <c r="E400" s="95"/>
      <c r="F400" s="95"/>
      <c r="G400" s="86" t="str">
        <f t="shared" si="5"/>
        <v/>
      </c>
    </row>
    <row r="401" spans="1:8">
      <c r="A401" s="256"/>
      <c r="B401" s="94"/>
      <c r="C401" s="157"/>
      <c r="D401" s="114"/>
      <c r="E401" s="95"/>
      <c r="F401" s="95"/>
      <c r="G401" s="86" t="str">
        <f t="shared" si="5"/>
        <v/>
      </c>
    </row>
    <row r="402" spans="1:8">
      <c r="A402" s="256"/>
      <c r="B402" s="94"/>
      <c r="C402" s="157"/>
      <c r="D402" s="114"/>
      <c r="E402" s="95"/>
      <c r="F402" s="95"/>
      <c r="G402" s="86" t="str">
        <f t="shared" si="5"/>
        <v/>
      </c>
    </row>
    <row r="403" spans="1:8">
      <c r="A403" s="256"/>
      <c r="B403" s="94"/>
      <c r="C403" s="157"/>
      <c r="D403" s="114"/>
      <c r="E403" s="95"/>
      <c r="F403" s="95"/>
      <c r="G403" s="86" t="str">
        <f t="shared" si="5"/>
        <v/>
      </c>
    </row>
    <row r="404" spans="1:8">
      <c r="A404" s="256"/>
      <c r="B404" s="94"/>
      <c r="C404" s="157"/>
      <c r="D404" s="114"/>
      <c r="E404" s="95"/>
      <c r="F404" s="95"/>
      <c r="G404" s="86" t="str">
        <f t="shared" si="5"/>
        <v/>
      </c>
    </row>
    <row r="405" spans="1:8" ht="18.75">
      <c r="A405" s="346"/>
      <c r="B405" s="316"/>
      <c r="C405" s="347"/>
      <c r="D405" s="305"/>
      <c r="E405" s="317"/>
      <c r="F405" s="317"/>
      <c r="G405" s="307" t="str">
        <f t="shared" si="5"/>
        <v/>
      </c>
      <c r="H405" s="308">
        <v>186622000</v>
      </c>
    </row>
    <row r="406" spans="1:8">
      <c r="A406" s="256"/>
      <c r="B406" s="94"/>
      <c r="C406" s="157"/>
      <c r="D406" s="114"/>
      <c r="E406" s="342"/>
      <c r="F406" s="95"/>
      <c r="G406" s="86" t="str">
        <f t="shared" si="5"/>
        <v/>
      </c>
      <c r="H406" s="83" t="s">
        <v>214</v>
      </c>
    </row>
    <row r="407" spans="1:8">
      <c r="A407" s="256"/>
      <c r="B407" s="94"/>
      <c r="C407" s="157"/>
      <c r="D407" s="114"/>
      <c r="E407" s="342"/>
      <c r="F407" s="95"/>
      <c r="G407" s="86" t="str">
        <f t="shared" si="5"/>
        <v/>
      </c>
    </row>
    <row r="408" spans="1:8">
      <c r="A408" s="256"/>
      <c r="B408" s="94"/>
      <c r="C408" s="157"/>
      <c r="D408" s="114"/>
      <c r="E408" s="342"/>
      <c r="F408" s="95"/>
      <c r="G408" s="86" t="str">
        <f t="shared" si="5"/>
        <v/>
      </c>
    </row>
    <row r="409" spans="1:8">
      <c r="A409" s="256"/>
      <c r="B409" s="94"/>
      <c r="C409" s="157"/>
      <c r="D409" s="114"/>
      <c r="E409" s="95"/>
      <c r="F409" s="95"/>
      <c r="G409" s="86" t="str">
        <f t="shared" si="5"/>
        <v/>
      </c>
    </row>
    <row r="410" spans="1:8">
      <c r="A410" s="256"/>
      <c r="B410" s="94"/>
      <c r="C410" s="157"/>
      <c r="D410" s="114"/>
      <c r="E410" s="342"/>
      <c r="F410" s="95"/>
      <c r="G410" s="86" t="str">
        <f t="shared" si="5"/>
        <v/>
      </c>
    </row>
    <row r="411" spans="1:8">
      <c r="A411" s="256"/>
      <c r="B411" s="94"/>
      <c r="C411" s="157"/>
      <c r="D411" s="114"/>
      <c r="E411" s="95"/>
      <c r="F411" s="95"/>
      <c r="G411" s="86" t="str">
        <f t="shared" si="5"/>
        <v/>
      </c>
    </row>
    <row r="412" spans="1:8">
      <c r="A412" s="256"/>
      <c r="B412" s="94"/>
      <c r="C412" s="157"/>
      <c r="D412" s="114"/>
      <c r="E412" s="95"/>
      <c r="F412" s="95"/>
      <c r="G412" s="86" t="str">
        <f t="shared" si="5"/>
        <v/>
      </c>
    </row>
    <row r="413" spans="1:8">
      <c r="A413" s="256"/>
      <c r="B413" s="94"/>
      <c r="C413" s="157"/>
      <c r="D413" s="114"/>
      <c r="E413" s="95"/>
      <c r="F413" s="95"/>
      <c r="G413" s="86" t="str">
        <f t="shared" si="5"/>
        <v/>
      </c>
    </row>
    <row r="414" spans="1:8">
      <c r="A414" s="256"/>
      <c r="B414" s="94"/>
      <c r="C414" s="157"/>
      <c r="D414" s="114"/>
      <c r="E414" s="95"/>
      <c r="F414" s="95"/>
      <c r="G414" s="86" t="str">
        <f t="shared" si="5"/>
        <v/>
      </c>
    </row>
    <row r="415" spans="1:8">
      <c r="A415" s="256"/>
      <c r="B415" s="94"/>
      <c r="C415" s="157"/>
      <c r="D415" s="114"/>
      <c r="E415" s="95"/>
      <c r="F415" s="95"/>
      <c r="G415" s="86" t="str">
        <f t="shared" si="5"/>
        <v/>
      </c>
    </row>
    <row r="416" spans="1:8">
      <c r="A416" s="256"/>
      <c r="B416" s="94"/>
      <c r="C416" s="157"/>
      <c r="D416" s="114"/>
      <c r="E416" s="95"/>
      <c r="F416" s="95"/>
      <c r="G416" s="86" t="str">
        <f t="shared" si="5"/>
        <v/>
      </c>
    </row>
    <row r="417" spans="1:7">
      <c r="A417" s="256"/>
      <c r="B417" s="94"/>
      <c r="C417" s="157"/>
      <c r="D417" s="114"/>
      <c r="E417" s="95"/>
      <c r="F417" s="95"/>
      <c r="G417" s="86" t="str">
        <f t="shared" si="5"/>
        <v/>
      </c>
    </row>
    <row r="418" spans="1:7">
      <c r="A418" s="256"/>
      <c r="B418" s="94"/>
      <c r="C418" s="157"/>
      <c r="D418" s="114"/>
      <c r="E418" s="95"/>
      <c r="F418" s="95"/>
      <c r="G418" s="86" t="str">
        <f t="shared" si="5"/>
        <v/>
      </c>
    </row>
    <row r="419" spans="1:7">
      <c r="A419" s="256"/>
      <c r="B419" s="94"/>
      <c r="C419" s="157"/>
      <c r="D419" s="114"/>
      <c r="E419" s="95"/>
      <c r="F419" s="95"/>
      <c r="G419" s="86" t="str">
        <f t="shared" si="5"/>
        <v/>
      </c>
    </row>
    <row r="420" spans="1:7">
      <c r="A420" s="256"/>
      <c r="B420" s="94"/>
      <c r="C420" s="157"/>
      <c r="D420" s="114"/>
      <c r="E420" s="95"/>
      <c r="F420" s="95"/>
      <c r="G420" s="86" t="str">
        <f t="shared" si="5"/>
        <v/>
      </c>
    </row>
    <row r="421" spans="1:7">
      <c r="A421" s="256"/>
      <c r="B421" s="94"/>
      <c r="C421" s="157"/>
      <c r="D421" s="114"/>
      <c r="E421" s="95"/>
      <c r="F421" s="95"/>
      <c r="G421" s="86" t="str">
        <f t="shared" si="5"/>
        <v/>
      </c>
    </row>
    <row r="422" spans="1:7">
      <c r="A422" s="256"/>
      <c r="B422" s="310"/>
      <c r="C422" s="157"/>
      <c r="D422" s="114"/>
      <c r="E422" s="95"/>
      <c r="F422" s="95"/>
      <c r="G422" s="86" t="str">
        <f t="shared" si="5"/>
        <v/>
      </c>
    </row>
    <row r="423" spans="1:7">
      <c r="A423" s="256"/>
      <c r="B423" s="310"/>
      <c r="C423" s="157"/>
      <c r="D423" s="114"/>
      <c r="E423" s="95"/>
      <c r="F423" s="95"/>
      <c r="G423" s="86" t="str">
        <f t="shared" si="5"/>
        <v/>
      </c>
    </row>
    <row r="424" spans="1:7">
      <c r="A424" s="256"/>
      <c r="B424" s="310"/>
      <c r="C424" s="157"/>
      <c r="D424" s="114"/>
      <c r="E424" s="95"/>
      <c r="F424" s="95"/>
      <c r="G424" s="86" t="str">
        <f t="shared" si="5"/>
        <v/>
      </c>
    </row>
    <row r="425" spans="1:7">
      <c r="A425" s="256"/>
      <c r="B425" s="310"/>
      <c r="C425" s="157"/>
      <c r="D425" s="114"/>
      <c r="E425" s="95"/>
      <c r="F425" s="95"/>
      <c r="G425" s="86" t="str">
        <f t="shared" si="5"/>
        <v/>
      </c>
    </row>
    <row r="426" spans="1:7">
      <c r="A426" s="256"/>
      <c r="B426" s="157"/>
      <c r="C426" s="157"/>
      <c r="D426" s="114"/>
      <c r="E426" s="342"/>
      <c r="F426" s="95"/>
      <c r="G426" s="86" t="str">
        <f t="shared" si="5"/>
        <v/>
      </c>
    </row>
    <row r="427" spans="1:7">
      <c r="A427" s="256"/>
      <c r="B427" s="157"/>
      <c r="C427" s="157"/>
      <c r="D427" s="114"/>
      <c r="E427" s="342"/>
      <c r="F427" s="95"/>
      <c r="G427" s="86" t="str">
        <f t="shared" si="5"/>
        <v/>
      </c>
    </row>
    <row r="428" spans="1:7">
      <c r="A428" s="256"/>
      <c r="B428" s="157"/>
      <c r="C428" s="157"/>
      <c r="D428" s="114"/>
      <c r="E428" s="342"/>
      <c r="F428" s="95"/>
      <c r="G428" s="86" t="str">
        <f t="shared" si="5"/>
        <v/>
      </c>
    </row>
    <row r="429" spans="1:7">
      <c r="A429" s="256"/>
      <c r="B429" s="157"/>
      <c r="C429" s="157"/>
      <c r="D429" s="114"/>
      <c r="E429" s="342"/>
      <c r="F429" s="95"/>
      <c r="G429" s="86" t="str">
        <f t="shared" si="5"/>
        <v/>
      </c>
    </row>
    <row r="430" spans="1:7">
      <c r="A430" s="256"/>
      <c r="B430" s="157"/>
      <c r="C430" s="157"/>
      <c r="D430" s="114"/>
      <c r="E430" s="342"/>
      <c r="F430" s="95"/>
      <c r="G430" s="86" t="str">
        <f t="shared" si="5"/>
        <v/>
      </c>
    </row>
    <row r="431" spans="1:7">
      <c r="A431" s="256"/>
      <c r="B431" s="94"/>
      <c r="C431" s="157"/>
      <c r="D431" s="114"/>
      <c r="E431" s="95"/>
      <c r="F431" s="95"/>
      <c r="G431" s="86" t="str">
        <f t="shared" si="5"/>
        <v/>
      </c>
    </row>
    <row r="432" spans="1:7">
      <c r="A432" s="256"/>
      <c r="B432" s="94"/>
      <c r="C432" s="157"/>
      <c r="D432" s="114"/>
      <c r="E432" s="342"/>
      <c r="F432" s="95"/>
      <c r="G432" s="86" t="str">
        <f t="shared" si="5"/>
        <v/>
      </c>
    </row>
    <row r="433" spans="1:7">
      <c r="A433" s="256"/>
      <c r="B433" s="94"/>
      <c r="C433" s="157"/>
      <c r="D433" s="114"/>
      <c r="E433" s="342"/>
      <c r="F433" s="95"/>
      <c r="G433" s="86" t="str">
        <f t="shared" si="5"/>
        <v/>
      </c>
    </row>
    <row r="434" spans="1:7">
      <c r="A434" s="256"/>
      <c r="B434" s="94"/>
      <c r="C434" s="157"/>
      <c r="D434" s="114"/>
      <c r="E434" s="342"/>
      <c r="F434" s="95"/>
      <c r="G434" s="86" t="str">
        <f t="shared" si="5"/>
        <v/>
      </c>
    </row>
    <row r="435" spans="1:7">
      <c r="A435" s="256"/>
      <c r="B435" s="94"/>
      <c r="C435" s="157"/>
      <c r="D435" s="114"/>
      <c r="E435" s="342"/>
      <c r="F435" s="95"/>
      <c r="G435" s="86" t="str">
        <f t="shared" si="5"/>
        <v/>
      </c>
    </row>
    <row r="436" spans="1:7">
      <c r="A436" s="256"/>
      <c r="B436" s="94"/>
      <c r="C436" s="157"/>
      <c r="D436" s="114"/>
      <c r="E436" s="95"/>
      <c r="F436" s="95"/>
      <c r="G436" s="86" t="str">
        <f t="shared" si="5"/>
        <v/>
      </c>
    </row>
    <row r="437" spans="1:7">
      <c r="A437" s="256"/>
      <c r="B437" s="94"/>
      <c r="C437" s="157"/>
      <c r="D437" s="114"/>
      <c r="E437" s="342"/>
      <c r="F437" s="95"/>
      <c r="G437" s="86" t="str">
        <f t="shared" si="5"/>
        <v/>
      </c>
    </row>
    <row r="438" spans="1:7">
      <c r="A438" s="256"/>
      <c r="B438" s="94"/>
      <c r="C438" s="157"/>
      <c r="D438" s="114"/>
      <c r="E438" s="342"/>
      <c r="F438" s="95"/>
      <c r="G438" s="86" t="str">
        <f t="shared" si="5"/>
        <v/>
      </c>
    </row>
    <row r="439" spans="1:7">
      <c r="A439" s="256"/>
      <c r="B439" s="94"/>
      <c r="C439" s="157"/>
      <c r="D439" s="114"/>
      <c r="E439" s="342"/>
      <c r="F439" s="95"/>
      <c r="G439" s="86" t="str">
        <f t="shared" si="5"/>
        <v/>
      </c>
    </row>
    <row r="440" spans="1:7">
      <c r="A440" s="256"/>
      <c r="B440" s="94"/>
      <c r="C440" s="157"/>
      <c r="D440" s="114"/>
      <c r="E440" s="342"/>
      <c r="F440" s="95"/>
      <c r="G440" s="86" t="str">
        <f t="shared" si="5"/>
        <v/>
      </c>
    </row>
    <row r="441" spans="1:7">
      <c r="A441" s="256"/>
      <c r="B441" s="94"/>
      <c r="C441" s="157"/>
      <c r="D441" s="114"/>
      <c r="E441" s="95"/>
      <c r="F441" s="95"/>
      <c r="G441" s="86" t="str">
        <f t="shared" si="5"/>
        <v/>
      </c>
    </row>
    <row r="442" spans="1:7">
      <c r="A442" s="256"/>
      <c r="B442" s="348"/>
      <c r="C442" s="157"/>
      <c r="D442" s="114"/>
      <c r="E442" s="342"/>
      <c r="F442" s="95"/>
      <c r="G442" s="86" t="str">
        <f t="shared" si="5"/>
        <v/>
      </c>
    </row>
    <row r="443" spans="1:7">
      <c r="A443" s="256"/>
      <c r="B443" s="348"/>
      <c r="C443" s="157"/>
      <c r="D443" s="114"/>
      <c r="E443" s="342"/>
      <c r="F443" s="95"/>
      <c r="G443" s="86" t="str">
        <f t="shared" si="5"/>
        <v/>
      </c>
    </row>
    <row r="444" spans="1:7">
      <c r="A444" s="256"/>
      <c r="B444" s="348"/>
      <c r="C444" s="157"/>
      <c r="D444" s="114"/>
      <c r="E444" s="342"/>
      <c r="F444" s="95"/>
      <c r="G444" s="86" t="str">
        <f t="shared" si="5"/>
        <v/>
      </c>
    </row>
    <row r="445" spans="1:7">
      <c r="A445" s="256"/>
      <c r="B445" s="348"/>
      <c r="C445" s="157"/>
      <c r="D445" s="114"/>
      <c r="E445" s="342"/>
      <c r="F445" s="95"/>
      <c r="G445" s="86" t="str">
        <f t="shared" si="5"/>
        <v/>
      </c>
    </row>
    <row r="446" spans="1:7">
      <c r="A446" s="256"/>
      <c r="B446" s="348"/>
      <c r="C446" s="157"/>
      <c r="D446" s="114"/>
      <c r="E446" s="342"/>
      <c r="F446" s="95"/>
      <c r="G446" s="86" t="str">
        <f t="shared" si="5"/>
        <v/>
      </c>
    </row>
    <row r="447" spans="1:7">
      <c r="A447" s="256"/>
      <c r="B447" s="348"/>
      <c r="C447" s="157"/>
      <c r="D447" s="114"/>
      <c r="E447" s="95"/>
      <c r="F447" s="95"/>
      <c r="G447" s="86" t="str">
        <f t="shared" si="5"/>
        <v/>
      </c>
    </row>
    <row r="448" spans="1:7">
      <c r="A448" s="256"/>
      <c r="B448" s="157"/>
      <c r="C448" s="157"/>
      <c r="D448" s="114"/>
      <c r="E448" s="342"/>
      <c r="F448" s="95"/>
      <c r="G448" s="86" t="str">
        <f t="shared" si="5"/>
        <v/>
      </c>
    </row>
    <row r="449" spans="1:7">
      <c r="A449" s="256"/>
      <c r="B449" s="157"/>
      <c r="C449" s="157"/>
      <c r="D449" s="114"/>
      <c r="E449" s="342"/>
      <c r="F449" s="95"/>
      <c r="G449" s="86" t="str">
        <f t="shared" si="5"/>
        <v/>
      </c>
    </row>
    <row r="450" spans="1:7">
      <c r="A450" s="256"/>
      <c r="B450" s="157"/>
      <c r="C450" s="157"/>
      <c r="D450" s="114"/>
      <c r="E450" s="342"/>
      <c r="F450" s="95"/>
      <c r="G450" s="86" t="str">
        <f t="shared" si="5"/>
        <v/>
      </c>
    </row>
    <row r="451" spans="1:7">
      <c r="A451" s="256"/>
      <c r="B451" s="157"/>
      <c r="C451" s="157"/>
      <c r="D451" s="114"/>
      <c r="E451" s="342"/>
      <c r="F451" s="95"/>
      <c r="G451" s="86" t="str">
        <f t="shared" si="5"/>
        <v/>
      </c>
    </row>
    <row r="452" spans="1:7">
      <c r="A452" s="256"/>
      <c r="B452" s="157"/>
      <c r="C452" s="157"/>
      <c r="D452" s="114"/>
      <c r="E452" s="342"/>
      <c r="F452" s="95"/>
      <c r="G452" s="86" t="str">
        <f t="shared" si="5"/>
        <v/>
      </c>
    </row>
    <row r="453" spans="1:7">
      <c r="A453" s="256"/>
      <c r="B453" s="94"/>
      <c r="C453" s="157"/>
      <c r="D453" s="114"/>
      <c r="E453" s="95"/>
      <c r="F453" s="95"/>
      <c r="G453" s="86" t="str">
        <f t="shared" si="5"/>
        <v/>
      </c>
    </row>
    <row r="454" spans="1:7">
      <c r="A454" s="256"/>
      <c r="B454" s="94"/>
      <c r="C454" s="157"/>
      <c r="D454" s="114"/>
      <c r="E454" s="95"/>
      <c r="F454" s="95"/>
      <c r="G454" s="86" t="str">
        <f t="shared" si="5"/>
        <v/>
      </c>
    </row>
    <row r="455" spans="1:7">
      <c r="A455" s="256"/>
      <c r="B455" s="94"/>
      <c r="C455" s="157"/>
      <c r="D455" s="114"/>
      <c r="E455" s="95"/>
      <c r="F455" s="95"/>
      <c r="G455" s="86" t="str">
        <f t="shared" si="5"/>
        <v/>
      </c>
    </row>
    <row r="456" spans="1:7">
      <c r="A456" s="256"/>
      <c r="B456" s="94"/>
      <c r="C456" s="157"/>
      <c r="D456" s="114"/>
      <c r="E456" s="95"/>
      <c r="F456" s="95"/>
      <c r="G456" s="86" t="str">
        <f t="shared" si="5"/>
        <v/>
      </c>
    </row>
    <row r="457" spans="1:7">
      <c r="A457" s="256"/>
      <c r="B457" s="94"/>
      <c r="C457" s="157"/>
      <c r="D457" s="114"/>
      <c r="E457" s="95"/>
      <c r="F457" s="95"/>
      <c r="G457" s="86" t="str">
        <f t="shared" si="5"/>
        <v/>
      </c>
    </row>
    <row r="458" spans="1:7">
      <c r="A458" s="256"/>
      <c r="B458" s="94"/>
      <c r="C458" s="157"/>
      <c r="D458" s="114"/>
      <c r="E458" s="95"/>
      <c r="F458" s="95"/>
      <c r="G458" s="86" t="str">
        <f t="shared" si="5"/>
        <v/>
      </c>
    </row>
    <row r="459" spans="1:7">
      <c r="A459" s="256"/>
      <c r="B459" s="94"/>
      <c r="C459" s="157"/>
      <c r="D459" s="114"/>
      <c r="E459" s="95"/>
      <c r="F459" s="95"/>
      <c r="G459" s="86" t="str">
        <f t="shared" si="5"/>
        <v/>
      </c>
    </row>
    <row r="460" spans="1:7">
      <c r="A460" s="256"/>
      <c r="B460" s="94"/>
      <c r="C460" s="157"/>
      <c r="D460" s="114"/>
      <c r="E460" s="95"/>
      <c r="F460" s="95"/>
      <c r="G460" s="86" t="str">
        <f t="shared" si="5"/>
        <v/>
      </c>
    </row>
    <row r="461" spans="1:7">
      <c r="A461" s="256"/>
      <c r="B461" s="94"/>
      <c r="C461" s="157"/>
      <c r="D461" s="114"/>
      <c r="E461" s="95"/>
      <c r="F461" s="95"/>
      <c r="G461" s="86" t="str">
        <f t="shared" si="5"/>
        <v/>
      </c>
    </row>
    <row r="462" spans="1:7">
      <c r="A462" s="256"/>
      <c r="B462" s="94"/>
      <c r="C462" s="157"/>
      <c r="D462" s="114"/>
      <c r="E462" s="95"/>
      <c r="F462" s="95"/>
      <c r="G462" s="86" t="str">
        <f t="shared" si="5"/>
        <v/>
      </c>
    </row>
    <row r="463" spans="1:7">
      <c r="A463" s="256"/>
      <c r="B463" s="94"/>
      <c r="C463" s="157"/>
      <c r="D463" s="114"/>
      <c r="E463" s="95"/>
      <c r="F463" s="95"/>
      <c r="G463" s="86" t="str">
        <f t="shared" si="5"/>
        <v/>
      </c>
    </row>
    <row r="464" spans="1:7">
      <c r="A464" s="256"/>
      <c r="B464" s="94"/>
      <c r="C464" s="157"/>
      <c r="D464" s="114"/>
      <c r="E464" s="95"/>
      <c r="F464" s="95"/>
      <c r="G464" s="86" t="str">
        <f t="shared" si="5"/>
        <v/>
      </c>
    </row>
    <row r="465" spans="1:7">
      <c r="A465" s="256"/>
      <c r="B465" s="94"/>
      <c r="C465" s="157"/>
      <c r="D465" s="114"/>
      <c r="E465" s="95"/>
      <c r="F465" s="95"/>
      <c r="G465" s="86" t="str">
        <f t="shared" si="5"/>
        <v/>
      </c>
    </row>
    <row r="466" spans="1:7">
      <c r="A466" s="256"/>
      <c r="B466" s="94"/>
      <c r="C466" s="157"/>
      <c r="D466" s="114"/>
      <c r="E466" s="95"/>
      <c r="F466" s="95"/>
      <c r="G466" s="86" t="str">
        <f t="shared" si="5"/>
        <v/>
      </c>
    </row>
    <row r="467" spans="1:7">
      <c r="A467" s="256"/>
      <c r="B467" s="94"/>
      <c r="C467" s="157"/>
      <c r="D467" s="114"/>
      <c r="E467" s="95"/>
      <c r="F467" s="95"/>
      <c r="G467" s="86" t="str">
        <f t="shared" si="5"/>
        <v/>
      </c>
    </row>
    <row r="468" spans="1:7">
      <c r="A468" s="256"/>
      <c r="B468" s="94"/>
      <c r="C468" s="157"/>
      <c r="D468" s="114"/>
      <c r="E468" s="95"/>
      <c r="F468" s="95"/>
      <c r="G468" s="86" t="str">
        <f t="shared" si="5"/>
        <v/>
      </c>
    </row>
    <row r="469" spans="1:7">
      <c r="A469" s="256"/>
      <c r="B469" s="94"/>
      <c r="C469" s="157"/>
      <c r="D469" s="114"/>
      <c r="E469" s="95"/>
      <c r="F469" s="95"/>
      <c r="G469" s="86" t="str">
        <f t="shared" si="5"/>
        <v/>
      </c>
    </row>
    <row r="470" spans="1:7">
      <c r="A470" s="256"/>
      <c r="B470" s="94"/>
      <c r="C470" s="157"/>
      <c r="D470" s="114"/>
      <c r="E470" s="95"/>
      <c r="F470" s="95"/>
      <c r="G470" s="86" t="str">
        <f t="shared" si="5"/>
        <v/>
      </c>
    </row>
    <row r="471" spans="1:7">
      <c r="A471" s="256"/>
      <c r="B471" s="94"/>
      <c r="C471" s="157"/>
      <c r="D471" s="114"/>
      <c r="E471" s="342"/>
      <c r="F471" s="95"/>
      <c r="G471" s="86" t="str">
        <f t="shared" si="5"/>
        <v/>
      </c>
    </row>
    <row r="472" spans="1:7">
      <c r="A472" s="256"/>
      <c r="B472" s="94"/>
      <c r="C472" s="157"/>
      <c r="D472" s="114"/>
      <c r="E472" s="342"/>
      <c r="F472" s="95"/>
      <c r="G472" s="86" t="str">
        <f t="shared" si="5"/>
        <v/>
      </c>
    </row>
    <row r="473" spans="1:7">
      <c r="A473" s="256"/>
      <c r="B473" s="94"/>
      <c r="C473" s="157"/>
      <c r="D473" s="114"/>
      <c r="E473" s="95"/>
      <c r="F473" s="95"/>
      <c r="G473" s="86" t="str">
        <f t="shared" si="5"/>
        <v/>
      </c>
    </row>
    <row r="474" spans="1:7">
      <c r="A474" s="256"/>
      <c r="B474" s="94"/>
      <c r="C474" s="157"/>
      <c r="D474" s="114"/>
      <c r="E474" s="95"/>
      <c r="F474" s="95"/>
      <c r="G474" s="86" t="str">
        <f t="shared" si="5"/>
        <v/>
      </c>
    </row>
    <row r="475" spans="1:7">
      <c r="A475" s="256"/>
      <c r="B475" s="94"/>
      <c r="C475" s="157"/>
      <c r="D475" s="114"/>
      <c r="E475" s="95"/>
      <c r="F475" s="95"/>
      <c r="G475" s="86" t="str">
        <f t="shared" si="5"/>
        <v/>
      </c>
    </row>
    <row r="476" spans="1:7">
      <c r="A476" s="256"/>
      <c r="B476" s="94"/>
      <c r="C476" s="157"/>
      <c r="D476" s="114"/>
      <c r="E476" s="95"/>
      <c r="F476" s="95"/>
      <c r="G476" s="86" t="str">
        <f t="shared" si="5"/>
        <v/>
      </c>
    </row>
    <row r="477" spans="1:7">
      <c r="A477" s="256"/>
      <c r="B477" s="94"/>
      <c r="C477" s="157"/>
      <c r="D477" s="114"/>
      <c r="E477" s="95"/>
      <c r="F477" s="95"/>
      <c r="G477" s="86" t="str">
        <f t="shared" si="5"/>
        <v/>
      </c>
    </row>
    <row r="478" spans="1:7">
      <c r="A478" s="256"/>
      <c r="B478" s="310"/>
      <c r="C478" s="157"/>
      <c r="D478" s="114"/>
      <c r="E478" s="95"/>
      <c r="F478" s="95"/>
      <c r="G478" s="86" t="str">
        <f t="shared" si="5"/>
        <v/>
      </c>
    </row>
    <row r="479" spans="1:7">
      <c r="A479" s="256"/>
      <c r="B479" s="157"/>
      <c r="C479" s="157"/>
      <c r="D479" s="114"/>
      <c r="E479" s="95"/>
      <c r="F479" s="95"/>
      <c r="G479" s="86" t="str">
        <f t="shared" si="5"/>
        <v/>
      </c>
    </row>
    <row r="480" spans="1:7">
      <c r="A480" s="256"/>
      <c r="B480" s="94"/>
      <c r="C480" s="157"/>
      <c r="D480" s="114"/>
      <c r="E480" s="95"/>
      <c r="F480" s="95"/>
      <c r="G480" s="86" t="str">
        <f t="shared" si="5"/>
        <v/>
      </c>
    </row>
    <row r="481" spans="1:7">
      <c r="A481" s="256"/>
      <c r="B481" s="94"/>
      <c r="C481" s="157"/>
      <c r="D481" s="114"/>
      <c r="E481" s="95"/>
      <c r="F481" s="95"/>
      <c r="G481" s="86" t="str">
        <f t="shared" si="5"/>
        <v/>
      </c>
    </row>
    <row r="482" spans="1:7">
      <c r="A482" s="256"/>
      <c r="B482" s="94"/>
      <c r="C482" s="157"/>
      <c r="D482" s="114"/>
      <c r="E482" s="95"/>
      <c r="F482" s="95"/>
      <c r="G482" s="86" t="str">
        <f t="shared" si="5"/>
        <v/>
      </c>
    </row>
    <row r="483" spans="1:7">
      <c r="A483" s="256"/>
      <c r="B483" s="94"/>
      <c r="C483" s="157"/>
      <c r="D483" s="114"/>
      <c r="E483" s="95"/>
      <c r="F483" s="95"/>
      <c r="G483" s="86" t="str">
        <f t="shared" si="5"/>
        <v/>
      </c>
    </row>
    <row r="484" spans="1:7">
      <c r="A484" s="256"/>
      <c r="B484" s="94"/>
      <c r="C484" s="157"/>
      <c r="D484" s="114"/>
      <c r="E484" s="95"/>
      <c r="F484" s="95"/>
      <c r="G484" s="86" t="str">
        <f t="shared" si="5"/>
        <v/>
      </c>
    </row>
    <row r="485" spans="1:7">
      <c r="A485" s="256"/>
      <c r="B485" s="94"/>
      <c r="C485" s="157"/>
      <c r="D485" s="114"/>
      <c r="E485" s="95"/>
      <c r="F485" s="95"/>
      <c r="G485" s="86" t="str">
        <f t="shared" si="5"/>
        <v/>
      </c>
    </row>
    <row r="486" spans="1:7">
      <c r="A486" s="256"/>
      <c r="B486" s="94"/>
      <c r="C486" s="157"/>
      <c r="D486" s="114"/>
      <c r="E486" s="95"/>
      <c r="F486" s="95"/>
      <c r="G486" s="86" t="str">
        <f t="shared" si="5"/>
        <v/>
      </c>
    </row>
    <row r="487" spans="1:7">
      <c r="A487" s="256"/>
      <c r="B487" s="94"/>
      <c r="C487" s="157"/>
      <c r="D487" s="114"/>
      <c r="E487" s="95"/>
      <c r="F487" s="95"/>
      <c r="G487" s="86" t="str">
        <f t="shared" si="5"/>
        <v/>
      </c>
    </row>
    <row r="488" spans="1:7">
      <c r="A488" s="256"/>
      <c r="B488" s="94"/>
      <c r="C488" s="157"/>
      <c r="D488" s="114"/>
      <c r="E488" s="95"/>
      <c r="F488" s="95"/>
      <c r="G488" s="86" t="str">
        <f t="shared" si="5"/>
        <v/>
      </c>
    </row>
    <row r="489" spans="1:7">
      <c r="A489" s="256"/>
      <c r="B489" s="94"/>
      <c r="C489" s="157"/>
      <c r="D489" s="114"/>
      <c r="E489" s="342"/>
      <c r="F489" s="95"/>
      <c r="G489" s="86" t="str">
        <f t="shared" si="5"/>
        <v/>
      </c>
    </row>
    <row r="490" spans="1:7">
      <c r="A490" s="256"/>
      <c r="B490" s="94"/>
      <c r="C490" s="157"/>
      <c r="D490" s="114"/>
      <c r="E490" s="342"/>
      <c r="F490" s="95"/>
      <c r="G490" s="86" t="str">
        <f t="shared" si="5"/>
        <v/>
      </c>
    </row>
    <row r="491" spans="1:7">
      <c r="A491" s="256"/>
      <c r="B491" s="94"/>
      <c r="C491" s="157"/>
      <c r="D491" s="114"/>
      <c r="E491" s="342"/>
      <c r="F491" s="95"/>
      <c r="G491" s="86" t="str">
        <f t="shared" si="5"/>
        <v/>
      </c>
    </row>
    <row r="492" spans="1:7">
      <c r="A492" s="256"/>
      <c r="B492" s="94"/>
      <c r="C492" s="157"/>
      <c r="D492" s="114"/>
      <c r="E492" s="342"/>
      <c r="F492" s="95"/>
      <c r="G492" s="86" t="str">
        <f t="shared" si="5"/>
        <v/>
      </c>
    </row>
    <row r="493" spans="1:7">
      <c r="A493" s="256"/>
      <c r="B493" s="94"/>
      <c r="C493" s="157"/>
      <c r="D493" s="114"/>
      <c r="E493" s="342"/>
      <c r="F493" s="95"/>
      <c r="G493" s="86" t="str">
        <f t="shared" si="5"/>
        <v/>
      </c>
    </row>
    <row r="494" spans="1:7">
      <c r="A494" s="256"/>
      <c r="B494" s="94"/>
      <c r="C494" s="157"/>
      <c r="D494" s="114"/>
      <c r="E494" s="342"/>
      <c r="F494" s="95"/>
      <c r="G494" s="86" t="str">
        <f t="shared" si="5"/>
        <v/>
      </c>
    </row>
    <row r="495" spans="1:7">
      <c r="A495" s="256"/>
      <c r="B495" s="94"/>
      <c r="C495" s="157"/>
      <c r="D495" s="114"/>
      <c r="E495" s="342"/>
      <c r="F495" s="95"/>
      <c r="G495" s="86" t="str">
        <f t="shared" si="5"/>
        <v/>
      </c>
    </row>
    <row r="496" spans="1:7">
      <c r="A496" s="256"/>
      <c r="B496" s="94"/>
      <c r="C496" s="157"/>
      <c r="D496" s="114"/>
      <c r="E496" s="342"/>
      <c r="F496" s="95"/>
      <c r="G496" s="86" t="str">
        <f t="shared" si="5"/>
        <v/>
      </c>
    </row>
    <row r="497" spans="1:7">
      <c r="A497" s="256"/>
      <c r="B497" s="94"/>
      <c r="C497" s="157"/>
      <c r="D497" s="114"/>
      <c r="E497" s="342"/>
      <c r="F497" s="95"/>
      <c r="G497" s="86" t="str">
        <f t="shared" si="5"/>
        <v/>
      </c>
    </row>
    <row r="498" spans="1:7">
      <c r="A498" s="256"/>
      <c r="B498" s="94"/>
      <c r="C498" s="157"/>
      <c r="D498" s="114"/>
      <c r="E498" s="342"/>
      <c r="F498" s="95"/>
      <c r="G498" s="86" t="str">
        <f t="shared" si="5"/>
        <v/>
      </c>
    </row>
    <row r="499" spans="1:7">
      <c r="A499" s="256"/>
      <c r="B499" s="94"/>
      <c r="C499" s="157"/>
      <c r="D499" s="114"/>
      <c r="E499" s="342"/>
      <c r="F499" s="95"/>
      <c r="G499" s="86" t="str">
        <f t="shared" si="5"/>
        <v/>
      </c>
    </row>
    <row r="500" spans="1:7">
      <c r="A500" s="256"/>
      <c r="B500" s="94"/>
      <c r="C500" s="157"/>
      <c r="D500" s="114"/>
      <c r="E500" s="342"/>
      <c r="F500" s="95"/>
      <c r="G500" s="86" t="str">
        <f t="shared" si="5"/>
        <v/>
      </c>
    </row>
    <row r="501" spans="1:7">
      <c r="A501" s="256"/>
      <c r="B501" s="94"/>
      <c r="C501" s="157"/>
      <c r="D501" s="114"/>
      <c r="E501" s="342"/>
      <c r="F501" s="95"/>
      <c r="G501" s="86" t="str">
        <f t="shared" si="5"/>
        <v/>
      </c>
    </row>
    <row r="502" spans="1:7">
      <c r="A502" s="256"/>
      <c r="B502" s="94"/>
      <c r="C502" s="157"/>
      <c r="D502" s="114"/>
      <c r="E502" s="342"/>
      <c r="F502" s="95"/>
      <c r="G502" s="86" t="str">
        <f t="shared" si="5"/>
        <v/>
      </c>
    </row>
    <row r="503" spans="1:7">
      <c r="A503" s="256"/>
      <c r="B503" s="94"/>
      <c r="C503" s="157"/>
      <c r="D503" s="114"/>
      <c r="E503" s="95"/>
      <c r="F503" s="95"/>
      <c r="G503" s="86" t="str">
        <f t="shared" si="5"/>
        <v/>
      </c>
    </row>
    <row r="504" spans="1:7">
      <c r="A504" s="256"/>
      <c r="B504" s="94"/>
      <c r="C504" s="157"/>
      <c r="D504" s="114"/>
      <c r="E504" s="95"/>
      <c r="F504" s="95"/>
      <c r="G504" s="86" t="str">
        <f t="shared" si="5"/>
        <v/>
      </c>
    </row>
    <row r="505" spans="1:7">
      <c r="A505" s="256"/>
      <c r="B505" s="94"/>
      <c r="C505" s="157"/>
      <c r="D505" s="114"/>
      <c r="E505" s="95"/>
      <c r="F505" s="95"/>
      <c r="G505" s="86" t="str">
        <f t="shared" si="5"/>
        <v/>
      </c>
    </row>
    <row r="506" spans="1:7">
      <c r="A506" s="256"/>
      <c r="B506" s="94"/>
      <c r="C506" s="157"/>
      <c r="D506" s="114"/>
      <c r="E506" s="95"/>
      <c r="F506" s="95"/>
      <c r="G506" s="86" t="str">
        <f t="shared" si="5"/>
        <v/>
      </c>
    </row>
    <row r="507" spans="1:7">
      <c r="A507" s="256"/>
      <c r="B507" s="94"/>
      <c r="C507" s="157"/>
      <c r="D507" s="114"/>
      <c r="E507" s="95"/>
      <c r="F507" s="95"/>
      <c r="G507" s="86" t="str">
        <f t="shared" si="5"/>
        <v/>
      </c>
    </row>
    <row r="508" spans="1:7">
      <c r="A508" s="256"/>
      <c r="B508" s="94"/>
      <c r="C508" s="157"/>
      <c r="D508" s="114"/>
      <c r="E508" s="342"/>
      <c r="F508" s="95"/>
      <c r="G508" s="86" t="str">
        <f t="shared" si="5"/>
        <v/>
      </c>
    </row>
    <row r="509" spans="1:7">
      <c r="A509" s="256"/>
      <c r="B509" s="94"/>
      <c r="C509" s="157"/>
      <c r="D509" s="114"/>
      <c r="E509" s="342"/>
      <c r="F509" s="95"/>
      <c r="G509" s="86" t="str">
        <f t="shared" si="5"/>
        <v/>
      </c>
    </row>
    <row r="510" spans="1:7">
      <c r="A510" s="256"/>
      <c r="B510" s="94"/>
      <c r="C510" s="157"/>
      <c r="D510" s="114"/>
      <c r="E510" s="342"/>
      <c r="F510" s="95"/>
      <c r="G510" s="86" t="str">
        <f t="shared" si="5"/>
        <v/>
      </c>
    </row>
    <row r="511" spans="1:7">
      <c r="A511" s="256"/>
      <c r="B511" s="94"/>
      <c r="C511" s="157"/>
      <c r="D511" s="114"/>
      <c r="E511" s="342"/>
      <c r="F511" s="95"/>
      <c r="G511" s="86" t="str">
        <f t="shared" si="5"/>
        <v/>
      </c>
    </row>
    <row r="512" spans="1:7">
      <c r="A512" s="256"/>
      <c r="B512" s="94"/>
      <c r="C512" s="157"/>
      <c r="D512" s="114"/>
      <c r="E512" s="342"/>
      <c r="F512" s="95"/>
      <c r="G512" s="86" t="str">
        <f t="shared" si="5"/>
        <v/>
      </c>
    </row>
    <row r="513" spans="1:7">
      <c r="A513" s="256"/>
      <c r="B513" s="94"/>
      <c r="C513" s="157"/>
      <c r="D513" s="114"/>
      <c r="E513" s="342"/>
      <c r="F513" s="95"/>
      <c r="G513" s="86" t="str">
        <f t="shared" si="5"/>
        <v/>
      </c>
    </row>
    <row r="514" spans="1:7">
      <c r="A514" s="256"/>
      <c r="B514" s="94"/>
      <c r="C514" s="157"/>
      <c r="D514" s="114"/>
      <c r="E514" s="342"/>
      <c r="F514" s="95"/>
      <c r="G514" s="86" t="str">
        <f t="shared" si="5"/>
        <v/>
      </c>
    </row>
    <row r="515" spans="1:7">
      <c r="A515" s="256"/>
      <c r="B515" s="94"/>
      <c r="C515" s="157"/>
      <c r="D515" s="114"/>
      <c r="E515" s="95"/>
      <c r="F515" s="95"/>
      <c r="G515" s="86" t="str">
        <f t="shared" si="5"/>
        <v/>
      </c>
    </row>
    <row r="516" spans="1:7">
      <c r="A516" s="256"/>
      <c r="B516" s="94"/>
      <c r="C516" s="157"/>
      <c r="D516" s="114"/>
      <c r="E516" s="95"/>
      <c r="F516" s="95"/>
      <c r="G516" s="86" t="str">
        <f t="shared" si="5"/>
        <v/>
      </c>
    </row>
    <row r="517" spans="1:7">
      <c r="A517" s="256"/>
      <c r="B517" s="94"/>
      <c r="C517" s="157"/>
      <c r="D517" s="114"/>
      <c r="E517" s="95"/>
      <c r="F517" s="95"/>
      <c r="G517" s="86" t="str">
        <f t="shared" si="5"/>
        <v/>
      </c>
    </row>
    <row r="518" spans="1:7">
      <c r="A518" s="256"/>
      <c r="B518" s="321"/>
      <c r="C518" s="157"/>
      <c r="D518" s="114"/>
      <c r="E518" s="95"/>
      <c r="F518" s="95"/>
      <c r="G518" s="86" t="str">
        <f t="shared" si="5"/>
        <v/>
      </c>
    </row>
    <row r="519" spans="1:7">
      <c r="A519" s="256"/>
      <c r="B519" s="321"/>
      <c r="C519" s="157"/>
      <c r="D519" s="114"/>
      <c r="E519" s="342"/>
      <c r="F519" s="95"/>
      <c r="G519" s="86" t="str">
        <f t="shared" si="5"/>
        <v/>
      </c>
    </row>
    <row r="520" spans="1:7">
      <c r="A520" s="256"/>
      <c r="B520" s="321"/>
      <c r="C520" s="157"/>
      <c r="D520" s="114"/>
      <c r="E520" s="342"/>
      <c r="F520" s="95"/>
      <c r="G520" s="86" t="str">
        <f t="shared" si="5"/>
        <v/>
      </c>
    </row>
    <row r="521" spans="1:7">
      <c r="A521" s="256"/>
      <c r="B521" s="321"/>
      <c r="C521" s="157"/>
      <c r="D521" s="114"/>
      <c r="E521" s="342"/>
      <c r="F521" s="95"/>
      <c r="G521" s="86" t="str">
        <f t="shared" si="5"/>
        <v/>
      </c>
    </row>
    <row r="522" spans="1:7">
      <c r="A522" s="256"/>
      <c r="B522" s="321"/>
      <c r="C522" s="157"/>
      <c r="D522" s="114"/>
      <c r="E522" s="342"/>
      <c r="F522" s="95"/>
      <c r="G522" s="86" t="str">
        <f t="shared" si="5"/>
        <v/>
      </c>
    </row>
    <row r="523" spans="1:7">
      <c r="A523" s="256"/>
      <c r="B523" s="321"/>
      <c r="C523" s="157"/>
      <c r="D523" s="114"/>
      <c r="E523" s="95"/>
      <c r="F523" s="95"/>
      <c r="G523" s="86" t="str">
        <f t="shared" si="5"/>
        <v/>
      </c>
    </row>
    <row r="524" spans="1:7">
      <c r="A524" s="256"/>
      <c r="B524" s="321"/>
      <c r="C524" s="157"/>
      <c r="D524" s="114"/>
      <c r="E524" s="342"/>
      <c r="F524" s="95"/>
      <c r="G524" s="86" t="str">
        <f t="shared" si="5"/>
        <v/>
      </c>
    </row>
    <row r="525" spans="1:7">
      <c r="A525" s="256"/>
      <c r="B525" s="309"/>
      <c r="C525" s="157"/>
      <c r="D525" s="114"/>
      <c r="E525" s="342"/>
      <c r="F525" s="95"/>
      <c r="G525" s="86" t="str">
        <f t="shared" si="5"/>
        <v/>
      </c>
    </row>
    <row r="526" spans="1:7">
      <c r="A526" s="256"/>
      <c r="B526" s="309"/>
      <c r="C526" s="157"/>
      <c r="D526" s="114"/>
      <c r="E526" s="342"/>
      <c r="F526" s="95"/>
      <c r="G526" s="86" t="str">
        <f t="shared" si="5"/>
        <v/>
      </c>
    </row>
    <row r="527" spans="1:7">
      <c r="A527" s="256"/>
      <c r="B527" s="309"/>
      <c r="C527" s="157"/>
      <c r="D527" s="114"/>
      <c r="E527" s="342"/>
      <c r="F527" s="95"/>
      <c r="G527" s="86" t="str">
        <f t="shared" si="5"/>
        <v/>
      </c>
    </row>
    <row r="528" spans="1:7">
      <c r="A528" s="256"/>
      <c r="B528" s="309"/>
      <c r="C528" s="157"/>
      <c r="D528" s="114"/>
      <c r="E528" s="342"/>
      <c r="F528" s="95"/>
      <c r="G528" s="86" t="str">
        <f t="shared" si="5"/>
        <v/>
      </c>
    </row>
    <row r="529" spans="1:7">
      <c r="A529" s="256"/>
      <c r="B529" s="309"/>
      <c r="C529" s="157"/>
      <c r="D529" s="114"/>
      <c r="E529" s="342"/>
      <c r="F529" s="95"/>
      <c r="G529" s="86" t="str">
        <f t="shared" si="5"/>
        <v/>
      </c>
    </row>
    <row r="530" spans="1:7">
      <c r="A530" s="256"/>
      <c r="B530" s="309"/>
      <c r="C530" s="157"/>
      <c r="D530" s="114"/>
      <c r="E530" s="342"/>
      <c r="F530" s="95"/>
      <c r="G530" s="86" t="str">
        <f t="shared" si="5"/>
        <v/>
      </c>
    </row>
    <row r="531" spans="1:7">
      <c r="A531" s="256"/>
      <c r="B531" s="321"/>
      <c r="C531" s="157"/>
      <c r="D531" s="114"/>
      <c r="E531" s="95"/>
      <c r="F531" s="95"/>
      <c r="G531" s="86" t="str">
        <f t="shared" si="5"/>
        <v/>
      </c>
    </row>
    <row r="532" spans="1:7">
      <c r="A532" s="256"/>
      <c r="B532" s="249"/>
      <c r="C532" s="157"/>
      <c r="D532" s="114"/>
      <c r="E532" s="342"/>
      <c r="F532" s="95"/>
      <c r="G532" s="86" t="str">
        <f t="shared" ref="G532:G603" si="6">IF(AND(E532="",F532=""),"",(G531+E532)-F532)</f>
        <v/>
      </c>
    </row>
    <row r="533" spans="1:7">
      <c r="A533" s="256"/>
      <c r="B533" s="249"/>
      <c r="C533" s="157"/>
      <c r="D533" s="114"/>
      <c r="E533" s="342"/>
      <c r="F533" s="95"/>
      <c r="G533" s="86" t="str">
        <f t="shared" si="6"/>
        <v/>
      </c>
    </row>
    <row r="534" spans="1:7">
      <c r="A534" s="256"/>
      <c r="B534" s="249"/>
      <c r="C534" s="157"/>
      <c r="D534" s="114"/>
      <c r="E534" s="342"/>
      <c r="F534" s="95"/>
      <c r="G534" s="86" t="str">
        <f t="shared" si="6"/>
        <v/>
      </c>
    </row>
    <row r="535" spans="1:7">
      <c r="A535" s="256"/>
      <c r="B535" s="321"/>
      <c r="C535" s="157"/>
      <c r="D535" s="114"/>
      <c r="E535" s="95"/>
      <c r="F535" s="95"/>
      <c r="G535" s="86" t="str">
        <f t="shared" si="6"/>
        <v/>
      </c>
    </row>
    <row r="536" spans="1:7">
      <c r="A536" s="256"/>
      <c r="B536" s="321"/>
      <c r="C536" s="157"/>
      <c r="D536" s="114"/>
      <c r="E536" s="342"/>
      <c r="F536" s="95"/>
      <c r="G536" s="86" t="str">
        <f t="shared" si="6"/>
        <v/>
      </c>
    </row>
    <row r="537" spans="1:7">
      <c r="A537" s="256"/>
      <c r="B537" s="321"/>
      <c r="C537" s="157"/>
      <c r="D537" s="114"/>
      <c r="E537" s="342"/>
      <c r="F537" s="95"/>
      <c r="G537" s="86" t="str">
        <f t="shared" si="6"/>
        <v/>
      </c>
    </row>
    <row r="538" spans="1:7">
      <c r="A538" s="256"/>
      <c r="B538" s="321"/>
      <c r="C538" s="157"/>
      <c r="D538" s="114"/>
      <c r="E538" s="342"/>
      <c r="F538" s="95"/>
      <c r="G538" s="86" t="str">
        <f t="shared" si="6"/>
        <v/>
      </c>
    </row>
    <row r="539" spans="1:7">
      <c r="A539" s="256"/>
      <c r="B539" s="321"/>
      <c r="C539" s="157"/>
      <c r="D539" s="114"/>
      <c r="E539" s="95"/>
      <c r="F539" s="95"/>
      <c r="G539" s="86" t="str">
        <f t="shared" si="6"/>
        <v/>
      </c>
    </row>
    <row r="540" spans="1:7">
      <c r="A540" s="256"/>
      <c r="B540" s="321"/>
      <c r="C540" s="157"/>
      <c r="D540" s="114"/>
      <c r="E540" s="95"/>
      <c r="F540" s="95"/>
      <c r="G540" s="86" t="str">
        <f t="shared" si="6"/>
        <v/>
      </c>
    </row>
    <row r="541" spans="1:7">
      <c r="A541" s="256"/>
      <c r="B541" s="321"/>
      <c r="C541" s="157"/>
      <c r="D541" s="114"/>
      <c r="E541" s="342"/>
      <c r="F541" s="95"/>
      <c r="G541" s="86" t="str">
        <f t="shared" si="6"/>
        <v/>
      </c>
    </row>
    <row r="542" spans="1:7">
      <c r="A542" s="256"/>
      <c r="B542" s="94"/>
      <c r="C542" s="157"/>
      <c r="D542" s="114"/>
      <c r="E542" s="95"/>
      <c r="F542" s="95"/>
      <c r="G542" s="86" t="str">
        <f t="shared" si="6"/>
        <v/>
      </c>
    </row>
    <row r="543" spans="1:7">
      <c r="A543" s="256"/>
      <c r="B543" s="94"/>
      <c r="C543" s="157"/>
      <c r="D543" s="114"/>
      <c r="E543" s="95"/>
      <c r="F543" s="95"/>
      <c r="G543" s="86" t="str">
        <f t="shared" si="6"/>
        <v/>
      </c>
    </row>
    <row r="544" spans="1:7">
      <c r="A544" s="256"/>
      <c r="B544" s="94"/>
      <c r="C544" s="157"/>
      <c r="D544" s="114"/>
      <c r="E544" s="95"/>
      <c r="F544" s="95"/>
      <c r="G544" s="86" t="str">
        <f t="shared" si="6"/>
        <v/>
      </c>
    </row>
    <row r="545" spans="1:7">
      <c r="A545" s="256"/>
      <c r="B545" s="94"/>
      <c r="C545" s="157"/>
      <c r="D545" s="114"/>
      <c r="E545" s="95"/>
      <c r="F545" s="95"/>
      <c r="G545" s="86" t="str">
        <f t="shared" si="6"/>
        <v/>
      </c>
    </row>
    <row r="546" spans="1:7">
      <c r="A546" s="256"/>
      <c r="B546" s="94"/>
      <c r="C546" s="157"/>
      <c r="D546" s="114"/>
      <c r="E546" s="95"/>
      <c r="F546" s="95"/>
      <c r="G546" s="86" t="str">
        <f t="shared" si="6"/>
        <v/>
      </c>
    </row>
    <row r="547" spans="1:7">
      <c r="A547" s="256"/>
      <c r="B547" s="94"/>
      <c r="C547" s="157"/>
      <c r="D547" s="114"/>
      <c r="E547" s="95"/>
      <c r="F547" s="95"/>
      <c r="G547" s="86" t="str">
        <f t="shared" si="6"/>
        <v/>
      </c>
    </row>
    <row r="548" spans="1:7">
      <c r="A548" s="256"/>
      <c r="B548" s="94"/>
      <c r="C548" s="157"/>
      <c r="D548" s="114"/>
      <c r="E548" s="95"/>
      <c r="F548" s="95"/>
      <c r="G548" s="86" t="str">
        <f t="shared" si="6"/>
        <v/>
      </c>
    </row>
    <row r="549" spans="1:7">
      <c r="A549" s="256"/>
      <c r="B549" s="94"/>
      <c r="C549" s="157"/>
      <c r="D549" s="114"/>
      <c r="E549" s="95"/>
      <c r="F549" s="95"/>
      <c r="G549" s="86" t="str">
        <f t="shared" si="6"/>
        <v/>
      </c>
    </row>
    <row r="550" spans="1:7">
      <c r="A550" s="256"/>
      <c r="B550" s="94"/>
      <c r="C550" s="157"/>
      <c r="D550" s="114"/>
      <c r="E550" s="95"/>
      <c r="F550" s="95"/>
      <c r="G550" s="86" t="str">
        <f t="shared" si="6"/>
        <v/>
      </c>
    </row>
    <row r="551" spans="1:7">
      <c r="A551" s="256"/>
      <c r="B551" s="94"/>
      <c r="C551" s="157"/>
      <c r="D551" s="114"/>
      <c r="E551" s="95"/>
      <c r="F551" s="95"/>
      <c r="G551" s="86" t="str">
        <f t="shared" si="6"/>
        <v/>
      </c>
    </row>
    <row r="552" spans="1:7">
      <c r="A552" s="256"/>
      <c r="B552" s="94"/>
      <c r="C552" s="157"/>
      <c r="D552" s="114"/>
      <c r="E552" s="95"/>
      <c r="F552" s="95"/>
      <c r="G552" s="86" t="str">
        <f t="shared" si="6"/>
        <v/>
      </c>
    </row>
    <row r="553" spans="1:7">
      <c r="A553" s="256"/>
      <c r="B553" s="94"/>
      <c r="C553" s="157"/>
      <c r="D553" s="114"/>
      <c r="E553" s="342"/>
      <c r="F553" s="95"/>
      <c r="G553" s="86" t="str">
        <f t="shared" si="6"/>
        <v/>
      </c>
    </row>
    <row r="554" spans="1:7">
      <c r="A554" s="256"/>
      <c r="B554" s="94"/>
      <c r="C554" s="157"/>
      <c r="D554" s="114"/>
      <c r="E554" s="342"/>
      <c r="F554" s="95"/>
      <c r="G554" s="86" t="str">
        <f t="shared" si="6"/>
        <v/>
      </c>
    </row>
    <row r="555" spans="1:7">
      <c r="A555" s="256"/>
      <c r="B555" s="94"/>
      <c r="C555" s="157"/>
      <c r="D555" s="114"/>
      <c r="E555" s="342"/>
      <c r="F555" s="95"/>
      <c r="G555" s="86" t="str">
        <f t="shared" si="6"/>
        <v/>
      </c>
    </row>
    <row r="556" spans="1:7">
      <c r="A556" s="256"/>
      <c r="B556" s="94"/>
      <c r="C556" s="157"/>
      <c r="D556" s="114"/>
      <c r="E556" s="95"/>
      <c r="F556" s="95"/>
      <c r="G556" s="86" t="str">
        <f t="shared" si="6"/>
        <v/>
      </c>
    </row>
    <row r="557" spans="1:7">
      <c r="A557" s="256"/>
      <c r="B557" s="94"/>
      <c r="C557" s="157"/>
      <c r="D557" s="114"/>
      <c r="E557" s="95"/>
      <c r="F557" s="95"/>
      <c r="G557" s="86" t="str">
        <f t="shared" si="6"/>
        <v/>
      </c>
    </row>
    <row r="558" spans="1:7">
      <c r="A558" s="256"/>
      <c r="B558" s="94"/>
      <c r="C558" s="157"/>
      <c r="D558" s="114"/>
      <c r="E558" s="95"/>
      <c r="F558" s="95"/>
      <c r="G558" s="86" t="str">
        <f t="shared" si="6"/>
        <v/>
      </c>
    </row>
    <row r="559" spans="1:7">
      <c r="A559" s="256"/>
      <c r="B559" s="94"/>
      <c r="C559" s="157"/>
      <c r="D559" s="114"/>
      <c r="E559" s="95"/>
      <c r="F559" s="95"/>
      <c r="G559" s="86" t="str">
        <f t="shared" si="6"/>
        <v/>
      </c>
    </row>
    <row r="560" spans="1:7">
      <c r="A560" s="256"/>
      <c r="B560" s="94"/>
      <c r="C560" s="157"/>
      <c r="D560" s="114"/>
      <c r="E560" s="95"/>
      <c r="F560" s="95"/>
      <c r="G560" s="86" t="str">
        <f t="shared" si="6"/>
        <v/>
      </c>
    </row>
    <row r="561" spans="1:7">
      <c r="A561" s="256"/>
      <c r="B561" s="94"/>
      <c r="C561" s="157"/>
      <c r="D561" s="114"/>
      <c r="E561" s="95"/>
      <c r="F561" s="95"/>
      <c r="G561" s="86" t="str">
        <f t="shared" si="6"/>
        <v/>
      </c>
    </row>
    <row r="562" spans="1:7">
      <c r="A562" s="256"/>
      <c r="B562" s="94"/>
      <c r="C562" s="157"/>
      <c r="D562" s="114"/>
      <c r="E562" s="342"/>
      <c r="F562" s="95"/>
      <c r="G562" s="86" t="str">
        <f t="shared" si="6"/>
        <v/>
      </c>
    </row>
    <row r="563" spans="1:7">
      <c r="A563" s="256"/>
      <c r="B563" s="94"/>
      <c r="C563" s="157"/>
      <c r="D563" s="114"/>
      <c r="E563" s="342"/>
      <c r="F563" s="95"/>
      <c r="G563" s="86" t="str">
        <f t="shared" si="6"/>
        <v/>
      </c>
    </row>
    <row r="564" spans="1:7">
      <c r="A564" s="256"/>
      <c r="B564" s="94"/>
      <c r="C564" s="157"/>
      <c r="D564" s="114"/>
      <c r="E564" s="342"/>
      <c r="F564" s="95"/>
      <c r="G564" s="86" t="str">
        <f t="shared" si="6"/>
        <v/>
      </c>
    </row>
    <row r="565" spans="1:7">
      <c r="A565" s="256"/>
      <c r="B565" s="94"/>
      <c r="C565" s="157"/>
      <c r="D565" s="114"/>
      <c r="E565" s="95"/>
      <c r="F565" s="95"/>
      <c r="G565" s="86" t="str">
        <f t="shared" si="6"/>
        <v/>
      </c>
    </row>
    <row r="566" spans="1:7">
      <c r="A566" s="256"/>
      <c r="B566" s="94"/>
      <c r="C566" s="157"/>
      <c r="D566" s="114"/>
      <c r="E566" s="95"/>
      <c r="F566" s="95"/>
      <c r="G566" s="86" t="str">
        <f t="shared" si="6"/>
        <v/>
      </c>
    </row>
    <row r="567" spans="1:7">
      <c r="A567" s="256"/>
      <c r="B567" s="94"/>
      <c r="C567" s="157"/>
      <c r="D567" s="114"/>
      <c r="E567" s="95"/>
      <c r="F567" s="95"/>
      <c r="G567" s="86" t="str">
        <f t="shared" si="6"/>
        <v/>
      </c>
    </row>
    <row r="568" spans="1:7">
      <c r="A568" s="256"/>
      <c r="B568" s="94"/>
      <c r="C568" s="157"/>
      <c r="D568" s="114"/>
      <c r="E568" s="95"/>
      <c r="F568" s="95"/>
      <c r="G568" s="86" t="str">
        <f t="shared" si="6"/>
        <v/>
      </c>
    </row>
    <row r="569" spans="1:7">
      <c r="A569" s="256"/>
      <c r="B569" s="94"/>
      <c r="C569" s="157"/>
      <c r="D569" s="114"/>
      <c r="E569" s="95"/>
      <c r="F569" s="95"/>
      <c r="G569" s="86" t="str">
        <f t="shared" si="6"/>
        <v/>
      </c>
    </row>
    <row r="570" spans="1:7">
      <c r="A570" s="256"/>
      <c r="B570" s="94"/>
      <c r="C570" s="157"/>
      <c r="D570" s="114"/>
      <c r="E570" s="95"/>
      <c r="F570" s="95"/>
      <c r="G570" s="86" t="str">
        <f t="shared" si="6"/>
        <v/>
      </c>
    </row>
    <row r="571" spans="1:7">
      <c r="A571" s="256"/>
      <c r="B571" s="94"/>
      <c r="C571" s="157"/>
      <c r="D571" s="114"/>
      <c r="E571" s="95"/>
      <c r="F571" s="95"/>
      <c r="G571" s="86" t="str">
        <f t="shared" si="6"/>
        <v/>
      </c>
    </row>
    <row r="572" spans="1:7">
      <c r="A572" s="256"/>
      <c r="B572" s="94"/>
      <c r="C572" s="157"/>
      <c r="D572" s="114"/>
      <c r="E572" s="95"/>
      <c r="F572" s="95"/>
      <c r="G572" s="86" t="str">
        <f t="shared" si="6"/>
        <v/>
      </c>
    </row>
    <row r="573" spans="1:7">
      <c r="A573" s="256"/>
      <c r="B573" s="94"/>
      <c r="C573" s="157"/>
      <c r="D573" s="114"/>
      <c r="E573" s="95"/>
      <c r="F573" s="95"/>
      <c r="G573" s="86" t="str">
        <f t="shared" si="6"/>
        <v/>
      </c>
    </row>
    <row r="574" spans="1:7">
      <c r="A574" s="256"/>
      <c r="B574" s="94"/>
      <c r="C574" s="157"/>
      <c r="D574" s="114"/>
      <c r="E574" s="95"/>
      <c r="F574" s="95"/>
      <c r="G574" s="86" t="str">
        <f t="shared" si="6"/>
        <v/>
      </c>
    </row>
    <row r="575" spans="1:7">
      <c r="A575" s="256"/>
      <c r="B575" s="94"/>
      <c r="C575" s="157"/>
      <c r="D575" s="114"/>
      <c r="E575" s="95"/>
      <c r="F575" s="95"/>
      <c r="G575" s="86" t="str">
        <f t="shared" si="6"/>
        <v/>
      </c>
    </row>
    <row r="576" spans="1:7">
      <c r="A576" s="256"/>
      <c r="B576" s="94"/>
      <c r="C576" s="157"/>
      <c r="D576" s="114"/>
      <c r="E576" s="95"/>
      <c r="F576" s="95"/>
      <c r="G576" s="86" t="str">
        <f t="shared" si="6"/>
        <v/>
      </c>
    </row>
    <row r="577" spans="1:7">
      <c r="A577" s="256"/>
      <c r="B577" s="94"/>
      <c r="C577" s="157"/>
      <c r="D577" s="114"/>
      <c r="E577" s="95"/>
      <c r="F577" s="95"/>
      <c r="G577" s="86" t="str">
        <f t="shared" si="6"/>
        <v/>
      </c>
    </row>
    <row r="578" spans="1:7">
      <c r="A578" s="256"/>
      <c r="B578" s="94"/>
      <c r="C578" s="157"/>
      <c r="D578" s="114"/>
      <c r="E578" s="95"/>
      <c r="F578" s="95"/>
      <c r="G578" s="86" t="str">
        <f t="shared" si="6"/>
        <v/>
      </c>
    </row>
    <row r="579" spans="1:7">
      <c r="A579" s="256"/>
      <c r="B579" s="94"/>
      <c r="C579" s="157"/>
      <c r="D579" s="114"/>
      <c r="E579" s="95"/>
      <c r="F579" s="95"/>
      <c r="G579" s="86" t="str">
        <f t="shared" si="6"/>
        <v/>
      </c>
    </row>
    <row r="580" spans="1:7">
      <c r="A580" s="256"/>
      <c r="B580" s="94"/>
      <c r="C580" s="157"/>
      <c r="D580" s="114"/>
      <c r="E580" s="95"/>
      <c r="F580" s="95"/>
      <c r="G580" s="86" t="str">
        <f t="shared" si="6"/>
        <v/>
      </c>
    </row>
    <row r="581" spans="1:7">
      <c r="A581" s="256"/>
      <c r="B581" s="94"/>
      <c r="C581" s="157"/>
      <c r="D581" s="114"/>
      <c r="E581" s="95"/>
      <c r="F581" s="95"/>
      <c r="G581" s="86" t="str">
        <f t="shared" si="6"/>
        <v/>
      </c>
    </row>
    <row r="582" spans="1:7">
      <c r="A582" s="256"/>
      <c r="B582" s="94"/>
      <c r="C582" s="157"/>
      <c r="D582" s="114"/>
      <c r="E582" s="95"/>
      <c r="F582" s="95"/>
      <c r="G582" s="86" t="str">
        <f t="shared" si="6"/>
        <v/>
      </c>
    </row>
    <row r="583" spans="1:7">
      <c r="A583" s="256"/>
      <c r="B583" s="325"/>
      <c r="C583" s="157"/>
      <c r="D583" s="114"/>
      <c r="E583" s="95"/>
      <c r="F583" s="95"/>
      <c r="G583" s="86" t="str">
        <f t="shared" si="6"/>
        <v/>
      </c>
    </row>
    <row r="584" spans="1:7">
      <c r="A584" s="256"/>
      <c r="B584" s="325"/>
      <c r="C584" s="157"/>
      <c r="D584" s="114"/>
      <c r="E584" s="95"/>
      <c r="F584" s="95"/>
      <c r="G584" s="86" t="str">
        <f t="shared" si="6"/>
        <v/>
      </c>
    </row>
    <row r="585" spans="1:7">
      <c r="A585" s="256"/>
      <c r="B585" s="325"/>
      <c r="C585" s="157"/>
      <c r="D585" s="114"/>
      <c r="E585" s="95"/>
      <c r="F585" s="95"/>
      <c r="G585" s="86" t="str">
        <f t="shared" si="6"/>
        <v/>
      </c>
    </row>
    <row r="586" spans="1:7">
      <c r="A586" s="256"/>
      <c r="B586" s="325"/>
      <c r="C586" s="157"/>
      <c r="D586" s="114"/>
      <c r="E586" s="95"/>
      <c r="F586" s="95"/>
      <c r="G586" s="86" t="str">
        <f t="shared" si="6"/>
        <v/>
      </c>
    </row>
    <row r="587" spans="1:7">
      <c r="A587" s="256"/>
      <c r="B587" s="325"/>
      <c r="C587" s="157"/>
      <c r="D587" s="114"/>
      <c r="E587" s="95"/>
      <c r="F587" s="95"/>
      <c r="G587" s="86" t="str">
        <f t="shared" si="6"/>
        <v/>
      </c>
    </row>
    <row r="588" spans="1:7">
      <c r="A588" s="256"/>
      <c r="B588" s="94"/>
      <c r="C588" s="157"/>
      <c r="D588" s="114"/>
      <c r="E588" s="95"/>
      <c r="F588" s="95"/>
      <c r="G588" s="86" t="str">
        <f t="shared" si="6"/>
        <v/>
      </c>
    </row>
    <row r="589" spans="1:7">
      <c r="A589" s="256"/>
      <c r="B589" s="94"/>
      <c r="C589" s="157"/>
      <c r="D589" s="114"/>
      <c r="E589" s="95"/>
      <c r="F589" s="95"/>
      <c r="G589" s="86" t="str">
        <f t="shared" si="6"/>
        <v/>
      </c>
    </row>
    <row r="590" spans="1:7">
      <c r="A590" s="256"/>
      <c r="B590" s="94"/>
      <c r="C590" s="157"/>
      <c r="D590" s="114"/>
      <c r="E590" s="95"/>
      <c r="F590" s="95"/>
      <c r="G590" s="86" t="str">
        <f t="shared" si="6"/>
        <v/>
      </c>
    </row>
    <row r="591" spans="1:7">
      <c r="A591" s="256"/>
      <c r="B591" s="94"/>
      <c r="C591" s="157"/>
      <c r="D591" s="114"/>
      <c r="E591" s="86"/>
      <c r="F591" s="86"/>
      <c r="G591" s="86" t="str">
        <f t="shared" si="6"/>
        <v/>
      </c>
    </row>
    <row r="592" spans="1:7">
      <c r="A592" s="256"/>
      <c r="B592" s="94"/>
      <c r="C592" s="157"/>
      <c r="D592" s="114"/>
      <c r="E592" s="95"/>
      <c r="F592" s="95"/>
      <c r="G592" s="86" t="str">
        <f t="shared" si="6"/>
        <v/>
      </c>
    </row>
    <row r="593" spans="1:7">
      <c r="A593" s="256"/>
      <c r="B593" s="94"/>
      <c r="C593" s="157"/>
      <c r="D593" s="114"/>
      <c r="E593" s="95"/>
      <c r="F593" s="95"/>
      <c r="G593" s="86" t="str">
        <f t="shared" si="6"/>
        <v/>
      </c>
    </row>
    <row r="594" spans="1:7">
      <c r="A594" s="256"/>
      <c r="B594" s="94"/>
      <c r="C594" s="157"/>
      <c r="D594" s="114"/>
      <c r="E594" s="95"/>
      <c r="F594" s="95"/>
      <c r="G594" s="86" t="str">
        <f t="shared" si="6"/>
        <v/>
      </c>
    </row>
    <row r="595" spans="1:7">
      <c r="A595" s="256"/>
      <c r="B595" s="94"/>
      <c r="C595" s="157"/>
      <c r="D595" s="114"/>
      <c r="E595" s="95"/>
      <c r="F595" s="95"/>
      <c r="G595" s="86" t="str">
        <f t="shared" si="6"/>
        <v/>
      </c>
    </row>
    <row r="596" spans="1:7">
      <c r="A596" s="256"/>
      <c r="B596" s="94"/>
      <c r="C596" s="157"/>
      <c r="D596" s="114"/>
      <c r="E596" s="95"/>
      <c r="F596" s="95"/>
      <c r="G596" s="86" t="str">
        <f t="shared" si="6"/>
        <v/>
      </c>
    </row>
    <row r="597" spans="1:7">
      <c r="A597" s="256"/>
      <c r="B597" s="94"/>
      <c r="C597" s="157"/>
      <c r="D597" s="114"/>
      <c r="E597" s="95"/>
      <c r="F597" s="95"/>
      <c r="G597" s="86" t="str">
        <f t="shared" si="6"/>
        <v/>
      </c>
    </row>
    <row r="598" spans="1:7">
      <c r="A598" s="256"/>
      <c r="B598" s="94"/>
      <c r="C598" s="157"/>
      <c r="D598" s="114"/>
      <c r="E598" s="95"/>
      <c r="F598" s="95"/>
      <c r="G598" s="86" t="str">
        <f t="shared" si="6"/>
        <v/>
      </c>
    </row>
    <row r="599" spans="1:7">
      <c r="A599" s="256"/>
      <c r="B599" s="94"/>
      <c r="C599" s="157"/>
      <c r="D599" s="114"/>
      <c r="E599" s="95"/>
      <c r="F599" s="95"/>
      <c r="G599" s="86" t="str">
        <f t="shared" si="6"/>
        <v/>
      </c>
    </row>
    <row r="600" spans="1:7">
      <c r="A600" s="256"/>
      <c r="B600" s="94"/>
      <c r="C600" s="157"/>
      <c r="D600" s="114"/>
      <c r="E600" s="95"/>
      <c r="F600" s="95"/>
      <c r="G600" s="86" t="str">
        <f t="shared" si="6"/>
        <v/>
      </c>
    </row>
    <row r="601" spans="1:7">
      <c r="A601" s="256"/>
      <c r="B601" s="94"/>
      <c r="C601" s="157"/>
      <c r="D601" s="114"/>
      <c r="E601" s="95"/>
      <c r="F601" s="95"/>
      <c r="G601" s="86" t="str">
        <f t="shared" si="6"/>
        <v/>
      </c>
    </row>
    <row r="602" spans="1:7">
      <c r="A602" s="329"/>
      <c r="B602" s="94"/>
      <c r="C602" s="85"/>
      <c r="D602" s="114">
        <f>IFERROR(VLOOKUP(C602,Akun!B:G,6,FALSE),0)</f>
        <v>0</v>
      </c>
      <c r="E602" s="86"/>
      <c r="F602" s="86"/>
      <c r="G602" s="86" t="str">
        <f t="shared" si="6"/>
        <v/>
      </c>
    </row>
    <row r="603" spans="1:7">
      <c r="A603" s="329"/>
      <c r="B603" s="94"/>
      <c r="C603" s="85"/>
      <c r="D603" s="114">
        <f>IFERROR(VLOOKUP(C603,Akun!B:G,6,FALSE),0)</f>
        <v>0</v>
      </c>
      <c r="E603" s="86"/>
      <c r="F603" s="86"/>
      <c r="G603" s="86" t="str">
        <f t="shared" si="6"/>
        <v/>
      </c>
    </row>
    <row r="604" spans="1:7">
      <c r="A604" s="257"/>
      <c r="B604" s="118"/>
      <c r="C604" s="119"/>
      <c r="D604" s="114">
        <f>IFERROR(VLOOKUP(C604,Akun!B:G,6,FALSE),0)</f>
        <v>0</v>
      </c>
      <c r="E604" s="86"/>
      <c r="F604" s="86"/>
      <c r="G604" s="86" t="str">
        <f t="shared" si="5"/>
        <v/>
      </c>
    </row>
    <row r="605" spans="1:7">
      <c r="D605" s="114">
        <f>IFERROR(VLOOKUP(C605,Akun!B:G,6,FALSE),0)</f>
        <v>0</v>
      </c>
      <c r="G605" s="86" t="str">
        <f t="shared" ref="G605:G655" si="7">IF(AND(E605="",F605=""),"",(G604+E605)-F605)</f>
        <v/>
      </c>
    </row>
    <row r="606" spans="1:7">
      <c r="D606" s="114">
        <f>IFERROR(VLOOKUP(C606,Akun!B:G,6,FALSE),0)</f>
        <v>0</v>
      </c>
      <c r="G606" s="86" t="str">
        <f t="shared" si="7"/>
        <v/>
      </c>
    </row>
    <row r="607" spans="1:7">
      <c r="D607" s="114">
        <f>IFERROR(VLOOKUP(C607,Akun!B:G,6,FALSE),0)</f>
        <v>0</v>
      </c>
      <c r="G607" s="86" t="str">
        <f t="shared" si="7"/>
        <v/>
      </c>
    </row>
    <row r="608" spans="1:7">
      <c r="D608" s="114">
        <f>IFERROR(VLOOKUP(C608,Akun!B:G,6,FALSE),0)</f>
        <v>0</v>
      </c>
      <c r="G608" s="86" t="str">
        <f t="shared" si="7"/>
        <v/>
      </c>
    </row>
    <row r="609" spans="1:8" ht="14.25" customHeight="1">
      <c r="D609" s="114">
        <f>IFERROR(VLOOKUP(C609,Akun!B:G,6,FALSE),0)</f>
        <v>0</v>
      </c>
      <c r="G609" s="86" t="str">
        <f t="shared" si="7"/>
        <v/>
      </c>
    </row>
    <row r="610" spans="1:8" ht="15" customHeight="1">
      <c r="D610" s="114">
        <f>IFERROR(VLOOKUP(C610,Akun!B:G,6,FALSE),0)</f>
        <v>0</v>
      </c>
      <c r="G610" s="86" t="str">
        <f t="shared" si="7"/>
        <v/>
      </c>
    </row>
    <row r="611" spans="1:8" ht="15" customHeight="1">
      <c r="D611" s="114">
        <f>IFERROR(VLOOKUP(C611,Akun!B:G,6,FALSE),0)</f>
        <v>0</v>
      </c>
      <c r="G611" s="86" t="str">
        <f t="shared" si="7"/>
        <v/>
      </c>
    </row>
    <row r="612" spans="1:8" ht="15" customHeight="1">
      <c r="D612" s="114">
        <f>IFERROR(VLOOKUP(C612,Akun!B:G,6,FALSE),0)</f>
        <v>0</v>
      </c>
      <c r="G612" s="86" t="str">
        <f t="shared" si="7"/>
        <v/>
      </c>
    </row>
    <row r="613" spans="1:8" ht="15" customHeight="1">
      <c r="A613" s="259"/>
      <c r="D613" s="114">
        <f>IFERROR(VLOOKUP(C613,Akun!B:G,6,FALSE),0)</f>
        <v>0</v>
      </c>
      <c r="G613" s="86" t="str">
        <f t="shared" si="7"/>
        <v/>
      </c>
    </row>
    <row r="614" spans="1:8" ht="15" customHeight="1">
      <c r="A614" s="259"/>
      <c r="D614" s="114">
        <f>IFERROR(VLOOKUP(C614,Akun!B:G,6,FALSE),0)</f>
        <v>0</v>
      </c>
      <c r="G614" s="86" t="str">
        <f t="shared" si="7"/>
        <v/>
      </c>
    </row>
    <row r="615" spans="1:8" ht="15" customHeight="1">
      <c r="A615" s="259"/>
      <c r="D615" s="114">
        <f>IFERROR(VLOOKUP(C615,Akun!B:G,6,FALSE),0)</f>
        <v>0</v>
      </c>
      <c r="G615" s="86" t="str">
        <f t="shared" si="7"/>
        <v/>
      </c>
    </row>
    <row r="616" spans="1:8">
      <c r="A616" s="259"/>
      <c r="D616" s="114">
        <f>IFERROR(VLOOKUP(C616,Akun!B:G,6,FALSE),0)</f>
        <v>0</v>
      </c>
      <c r="G616" s="86" t="str">
        <f t="shared" si="7"/>
        <v/>
      </c>
    </row>
    <row r="617" spans="1:8">
      <c r="A617" s="259"/>
      <c r="D617" s="114">
        <f>IFERROR(VLOOKUP(C617,Akun!B:G,6,FALSE),0)</f>
        <v>0</v>
      </c>
      <c r="G617" s="86" t="str">
        <f t="shared" si="7"/>
        <v/>
      </c>
    </row>
    <row r="618" spans="1:8">
      <c r="A618" s="259"/>
      <c r="D618" s="114">
        <f>IFERROR(VLOOKUP(C618,Akun!B:G,6,FALSE),0)</f>
        <v>0</v>
      </c>
      <c r="G618" s="86" t="str">
        <f t="shared" si="7"/>
        <v/>
      </c>
    </row>
    <row r="619" spans="1:8">
      <c r="A619" s="259"/>
      <c r="D619" s="114">
        <f>IFERROR(VLOOKUP(C619,Akun!B:G,6,FALSE),0)</f>
        <v>0</v>
      </c>
      <c r="G619" s="86" t="str">
        <f t="shared" si="7"/>
        <v/>
      </c>
    </row>
    <row r="620" spans="1:8">
      <c r="A620" s="259"/>
      <c r="D620" s="114">
        <f>IFERROR(VLOOKUP(C620,Akun!B:G,6,FALSE),0)</f>
        <v>0</v>
      </c>
      <c r="G620" s="86" t="str">
        <f t="shared" si="7"/>
        <v/>
      </c>
    </row>
    <row r="621" spans="1:8">
      <c r="A621" s="259"/>
      <c r="D621" s="114">
        <f>IFERROR(VLOOKUP(C621,Akun!B:G,6,FALSE),0)</f>
        <v>0</v>
      </c>
      <c r="G621" s="86" t="str">
        <f t="shared" si="7"/>
        <v/>
      </c>
    </row>
    <row r="622" spans="1:8">
      <c r="A622" s="259"/>
      <c r="C622" s="49"/>
      <c r="D622" s="114">
        <f>IFERROR(VLOOKUP(C622,Akun!B:G,6,FALSE),0)</f>
        <v>0</v>
      </c>
      <c r="E622" s="83"/>
      <c r="F622" s="49"/>
      <c r="G622" s="86" t="str">
        <f t="shared" si="7"/>
        <v/>
      </c>
      <c r="H622" s="49"/>
    </row>
    <row r="623" spans="1:8">
      <c r="A623" s="259"/>
      <c r="C623" s="49"/>
      <c r="D623" s="114">
        <f>IFERROR(VLOOKUP(C623,Akun!B:G,6,FALSE),0)</f>
        <v>0</v>
      </c>
      <c r="E623" s="83"/>
      <c r="F623" s="49"/>
      <c r="G623" s="86" t="str">
        <f t="shared" si="7"/>
        <v/>
      </c>
      <c r="H623" s="49"/>
    </row>
    <row r="624" spans="1:8">
      <c r="A624" s="259"/>
      <c r="C624" s="49"/>
      <c r="D624" s="114">
        <f>IFERROR(VLOOKUP(C624,Akun!B:G,6,FALSE),0)</f>
        <v>0</v>
      </c>
      <c r="E624" s="83"/>
      <c r="F624" s="49"/>
      <c r="G624" s="86" t="str">
        <f t="shared" si="7"/>
        <v/>
      </c>
      <c r="H624" s="49"/>
    </row>
    <row r="625" spans="1:8">
      <c r="A625" s="259"/>
      <c r="C625" s="49"/>
      <c r="D625" s="114">
        <f>IFERROR(VLOOKUP(C625,Akun!B:G,6,FALSE),0)</f>
        <v>0</v>
      </c>
      <c r="E625" s="83"/>
      <c r="F625" s="49"/>
      <c r="G625" s="86" t="str">
        <f t="shared" si="7"/>
        <v/>
      </c>
      <c r="H625" s="49"/>
    </row>
    <row r="626" spans="1:8">
      <c r="A626" s="259"/>
      <c r="C626" s="49"/>
      <c r="D626" s="114">
        <f>IFERROR(VLOOKUP(C626,Akun!B:G,6,FALSE),0)</f>
        <v>0</v>
      </c>
      <c r="E626" s="83"/>
      <c r="F626" s="49"/>
      <c r="G626" s="86" t="str">
        <f t="shared" si="7"/>
        <v/>
      </c>
      <c r="H626" s="49"/>
    </row>
    <row r="627" spans="1:8">
      <c r="A627" s="259"/>
      <c r="C627" s="49"/>
      <c r="D627" s="114">
        <f>IFERROR(VLOOKUP(C627,Akun!B:G,6,FALSE),0)</f>
        <v>0</v>
      </c>
      <c r="E627" s="83"/>
      <c r="F627" s="49"/>
      <c r="G627" s="86" t="str">
        <f t="shared" si="7"/>
        <v/>
      </c>
      <c r="H627" s="49"/>
    </row>
    <row r="628" spans="1:8" ht="15" customHeight="1">
      <c r="A628" s="259"/>
      <c r="C628" s="49"/>
      <c r="D628" s="114">
        <f>IFERROR(VLOOKUP(C628,Akun!B:G,6,FALSE),0)</f>
        <v>0</v>
      </c>
      <c r="E628" s="83"/>
      <c r="F628" s="49"/>
      <c r="G628" s="86" t="str">
        <f t="shared" si="7"/>
        <v/>
      </c>
      <c r="H628" s="49"/>
    </row>
    <row r="629" spans="1:8">
      <c r="A629" s="259"/>
      <c r="C629" s="49"/>
      <c r="D629" s="114">
        <f>IFERROR(VLOOKUP(C629,Akun!B:G,6,FALSE),0)</f>
        <v>0</v>
      </c>
      <c r="E629" s="83"/>
      <c r="F629" s="49"/>
      <c r="G629" s="86" t="str">
        <f t="shared" si="7"/>
        <v/>
      </c>
      <c r="H629" s="49"/>
    </row>
    <row r="630" spans="1:8">
      <c r="A630" s="259"/>
      <c r="C630" s="49"/>
      <c r="D630" s="114">
        <f>IFERROR(VLOOKUP(C630,Akun!B:G,6,FALSE),0)</f>
        <v>0</v>
      </c>
      <c r="E630" s="83"/>
      <c r="F630" s="49"/>
      <c r="G630" s="86" t="str">
        <f t="shared" si="7"/>
        <v/>
      </c>
      <c r="H630" s="49"/>
    </row>
    <row r="631" spans="1:8">
      <c r="A631" s="259"/>
      <c r="C631" s="49"/>
      <c r="D631" s="114">
        <f>IFERROR(VLOOKUP(C631,Akun!B:G,6,FALSE),0)</f>
        <v>0</v>
      </c>
      <c r="E631" s="83"/>
      <c r="F631" s="49"/>
      <c r="G631" s="86" t="str">
        <f t="shared" si="7"/>
        <v/>
      </c>
      <c r="H631" s="49"/>
    </row>
    <row r="632" spans="1:8">
      <c r="A632" s="259"/>
      <c r="C632" s="49"/>
      <c r="D632" s="114">
        <f>IFERROR(VLOOKUP(C632,Akun!B:G,6,FALSE),0)</f>
        <v>0</v>
      </c>
      <c r="E632" s="83"/>
      <c r="F632" s="49"/>
      <c r="G632" s="86" t="str">
        <f t="shared" si="7"/>
        <v/>
      </c>
      <c r="H632" s="49"/>
    </row>
    <row r="633" spans="1:8">
      <c r="A633" s="259"/>
      <c r="C633" s="49"/>
      <c r="D633" s="114">
        <f>IFERROR(VLOOKUP(C633,Akun!B:G,6,FALSE),0)</f>
        <v>0</v>
      </c>
      <c r="E633" s="83"/>
      <c r="F633" s="49"/>
      <c r="G633" s="86" t="str">
        <f t="shared" si="7"/>
        <v/>
      </c>
      <c r="H633" s="49"/>
    </row>
    <row r="634" spans="1:8">
      <c r="A634" s="259"/>
      <c r="C634" s="49"/>
      <c r="D634" s="114">
        <f>IFERROR(VLOOKUP(C634,Akun!B:G,6,FALSE),0)</f>
        <v>0</v>
      </c>
      <c r="E634" s="83"/>
      <c r="F634" s="49"/>
      <c r="G634" s="86" t="str">
        <f t="shared" si="7"/>
        <v/>
      </c>
      <c r="H634" s="49"/>
    </row>
    <row r="635" spans="1:8">
      <c r="A635" s="259"/>
      <c r="C635" s="49"/>
      <c r="D635" s="114">
        <f>IFERROR(VLOOKUP(C635,Akun!B:G,6,FALSE),0)</f>
        <v>0</v>
      </c>
      <c r="E635" s="83"/>
      <c r="F635" s="49"/>
      <c r="G635" s="86" t="str">
        <f t="shared" si="7"/>
        <v/>
      </c>
      <c r="H635" s="49"/>
    </row>
    <row r="636" spans="1:8">
      <c r="A636" s="259"/>
      <c r="C636" s="49"/>
      <c r="D636" s="114">
        <f>IFERROR(VLOOKUP(C636,Akun!B:G,6,FALSE),0)</f>
        <v>0</v>
      </c>
      <c r="E636" s="83"/>
      <c r="F636" s="49"/>
      <c r="G636" s="86" t="str">
        <f t="shared" si="7"/>
        <v/>
      </c>
      <c r="H636" s="49"/>
    </row>
    <row r="637" spans="1:8">
      <c r="A637" s="259"/>
      <c r="C637" s="49"/>
      <c r="D637" s="114">
        <f>IFERROR(VLOOKUP(C637,Akun!B:G,6,FALSE),0)</f>
        <v>0</v>
      </c>
      <c r="E637" s="83"/>
      <c r="F637" s="49"/>
      <c r="G637" s="86" t="str">
        <f t="shared" si="7"/>
        <v/>
      </c>
      <c r="H637" s="49"/>
    </row>
    <row r="638" spans="1:8">
      <c r="A638" s="259"/>
      <c r="C638" s="49"/>
      <c r="D638" s="114">
        <f>IFERROR(VLOOKUP(C638,Akun!B:G,6,FALSE),0)</f>
        <v>0</v>
      </c>
      <c r="E638" s="83"/>
      <c r="F638" s="49"/>
      <c r="G638" s="86" t="str">
        <f t="shared" si="7"/>
        <v/>
      </c>
      <c r="H638" s="49"/>
    </row>
    <row r="639" spans="1:8">
      <c r="A639" s="259"/>
      <c r="C639" s="49"/>
      <c r="D639" s="114">
        <f>IFERROR(VLOOKUP(C639,Akun!B:G,6,FALSE),0)</f>
        <v>0</v>
      </c>
      <c r="E639" s="83"/>
      <c r="F639" s="49"/>
      <c r="G639" s="86" t="str">
        <f t="shared" si="7"/>
        <v/>
      </c>
      <c r="H639" s="49"/>
    </row>
    <row r="640" spans="1:8">
      <c r="A640" s="259"/>
      <c r="C640" s="49"/>
      <c r="D640" s="114">
        <f>IFERROR(VLOOKUP(C640,Akun!B:G,6,FALSE),0)</f>
        <v>0</v>
      </c>
      <c r="E640" s="83"/>
      <c r="F640" s="49"/>
      <c r="G640" s="86" t="str">
        <f t="shared" si="7"/>
        <v/>
      </c>
      <c r="H640" s="49"/>
    </row>
    <row r="641" spans="1:8">
      <c r="A641" s="259"/>
      <c r="C641" s="49"/>
      <c r="D641" s="114">
        <f>IFERROR(VLOOKUP(C641,Akun!B:G,6,FALSE),0)</f>
        <v>0</v>
      </c>
      <c r="E641" s="83"/>
      <c r="F641" s="49"/>
      <c r="G641" s="86" t="str">
        <f t="shared" si="7"/>
        <v/>
      </c>
      <c r="H641" s="49"/>
    </row>
    <row r="642" spans="1:8">
      <c r="A642" s="259"/>
      <c r="C642" s="49"/>
      <c r="D642" s="114">
        <f>IFERROR(VLOOKUP(C642,Akun!B:G,6,FALSE),0)</f>
        <v>0</v>
      </c>
      <c r="E642" s="83"/>
      <c r="F642" s="49"/>
      <c r="G642" s="86" t="str">
        <f t="shared" si="7"/>
        <v/>
      </c>
      <c r="H642" s="49"/>
    </row>
    <row r="643" spans="1:8">
      <c r="A643" s="259"/>
      <c r="C643" s="49"/>
      <c r="D643" s="114">
        <f>IFERROR(VLOOKUP(C643,Akun!B:G,6,FALSE),0)</f>
        <v>0</v>
      </c>
      <c r="E643" s="83"/>
      <c r="F643" s="49"/>
      <c r="G643" s="86" t="str">
        <f t="shared" si="7"/>
        <v/>
      </c>
      <c r="H643" s="49"/>
    </row>
    <row r="644" spans="1:8">
      <c r="A644" s="259"/>
      <c r="C644" s="49"/>
      <c r="D644" s="114">
        <f>IFERROR(VLOOKUP(C644,Akun!B:G,6,FALSE),0)</f>
        <v>0</v>
      </c>
      <c r="E644" s="83"/>
      <c r="F644" s="49"/>
      <c r="G644" s="86" t="str">
        <f t="shared" si="7"/>
        <v/>
      </c>
      <c r="H644" s="49"/>
    </row>
    <row r="645" spans="1:8">
      <c r="A645" s="259"/>
      <c r="C645" s="49"/>
      <c r="D645" s="114">
        <f>IFERROR(VLOOKUP(C645,Akun!B:G,6,FALSE),0)</f>
        <v>0</v>
      </c>
      <c r="E645" s="83"/>
      <c r="F645" s="49"/>
      <c r="G645" s="86" t="str">
        <f t="shared" si="7"/>
        <v/>
      </c>
      <c r="H645" s="49"/>
    </row>
    <row r="646" spans="1:8">
      <c r="A646" s="259"/>
      <c r="C646" s="49"/>
      <c r="D646" s="114">
        <f>IFERROR(VLOOKUP(C646,Akun!B:G,6,FALSE),0)</f>
        <v>0</v>
      </c>
      <c r="E646" s="83"/>
      <c r="F646" s="49"/>
      <c r="G646" s="86" t="str">
        <f t="shared" si="7"/>
        <v/>
      </c>
      <c r="H646" s="49"/>
    </row>
    <row r="647" spans="1:8">
      <c r="A647" s="259"/>
      <c r="C647" s="49"/>
      <c r="D647" s="114">
        <f>IFERROR(VLOOKUP(C647,Akun!B:G,6,FALSE),0)</f>
        <v>0</v>
      </c>
      <c r="E647" s="83"/>
      <c r="F647" s="49"/>
      <c r="G647" s="86" t="str">
        <f t="shared" si="7"/>
        <v/>
      </c>
      <c r="H647" s="49"/>
    </row>
    <row r="648" spans="1:8">
      <c r="A648" s="259"/>
      <c r="C648" s="49"/>
      <c r="D648" s="114">
        <f>IFERROR(VLOOKUP(C648,Akun!B:G,6,FALSE),0)</f>
        <v>0</v>
      </c>
      <c r="E648" s="83"/>
      <c r="F648" s="49"/>
      <c r="G648" s="86" t="str">
        <f t="shared" si="7"/>
        <v/>
      </c>
      <c r="H648" s="49"/>
    </row>
    <row r="649" spans="1:8">
      <c r="A649" s="259"/>
      <c r="C649" s="49"/>
      <c r="D649" s="114">
        <f>IFERROR(VLOOKUP(C649,Akun!B:G,6,FALSE),0)</f>
        <v>0</v>
      </c>
      <c r="E649" s="83"/>
      <c r="F649" s="49"/>
      <c r="G649" s="86" t="str">
        <f t="shared" si="7"/>
        <v/>
      </c>
      <c r="H649" s="49"/>
    </row>
    <row r="650" spans="1:8">
      <c r="A650" s="259"/>
      <c r="C650" s="49"/>
      <c r="D650" s="114">
        <f>IFERROR(VLOOKUP(C650,Akun!B:G,6,FALSE),0)</f>
        <v>0</v>
      </c>
      <c r="E650" s="83"/>
      <c r="F650" s="49"/>
      <c r="G650" s="86" t="str">
        <f t="shared" si="7"/>
        <v/>
      </c>
      <c r="H650" s="49"/>
    </row>
    <row r="651" spans="1:8">
      <c r="A651" s="259"/>
      <c r="C651" s="49"/>
      <c r="D651" s="114">
        <f>IFERROR(VLOOKUP(C651,Akun!B:G,6,FALSE),0)</f>
        <v>0</v>
      </c>
      <c r="E651" s="83"/>
      <c r="F651" s="49"/>
      <c r="G651" s="86" t="str">
        <f t="shared" si="7"/>
        <v/>
      </c>
      <c r="H651" s="49"/>
    </row>
    <row r="652" spans="1:8">
      <c r="A652" s="259"/>
      <c r="C652" s="49"/>
      <c r="D652" s="114">
        <f>IFERROR(VLOOKUP(C652,Akun!B:G,6,FALSE),0)</f>
        <v>0</v>
      </c>
      <c r="E652" s="83"/>
      <c r="F652" s="49"/>
      <c r="G652" s="86" t="str">
        <f t="shared" si="7"/>
        <v/>
      </c>
      <c r="H652" s="49"/>
    </row>
    <row r="653" spans="1:8">
      <c r="A653" s="259"/>
      <c r="C653" s="49"/>
      <c r="D653" s="114">
        <f>IFERROR(VLOOKUP(C653,Akun!B:G,6,FALSE),0)</f>
        <v>0</v>
      </c>
      <c r="E653" s="83"/>
      <c r="F653" s="49"/>
      <c r="G653" s="86" t="str">
        <f t="shared" si="7"/>
        <v/>
      </c>
      <c r="H653" s="49"/>
    </row>
    <row r="654" spans="1:8">
      <c r="A654" s="259"/>
      <c r="C654" s="49"/>
      <c r="D654" s="114">
        <f>IFERROR(VLOOKUP(C654,Akun!B:G,6,FALSE),0)</f>
        <v>0</v>
      </c>
      <c r="E654" s="83"/>
      <c r="F654" s="49"/>
      <c r="G654" s="86" t="str">
        <f t="shared" si="7"/>
        <v/>
      </c>
      <c r="H654" s="49"/>
    </row>
    <row r="655" spans="1:8">
      <c r="A655" s="259"/>
      <c r="C655" s="49"/>
      <c r="D655" s="114">
        <f>IFERROR(VLOOKUP(C655,Akun!B:G,6,FALSE),0)</f>
        <v>0</v>
      </c>
      <c r="E655" s="83"/>
      <c r="F655" s="49"/>
      <c r="G655" s="86" t="str">
        <f t="shared" si="7"/>
        <v/>
      </c>
      <c r="H655" s="49"/>
    </row>
    <row r="656" spans="1:8">
      <c r="A656" s="259"/>
      <c r="C656" s="49"/>
      <c r="D656" s="114">
        <f>IFERROR(VLOOKUP(C656,Akun!B:G,6,FALSE),0)</f>
        <v>0</v>
      </c>
      <c r="E656" s="83"/>
      <c r="F656" s="49"/>
      <c r="G656" s="49"/>
      <c r="H656" s="49"/>
    </row>
    <row r="657" spans="1:8">
      <c r="A657" s="259"/>
      <c r="C657" s="49"/>
      <c r="D657" s="114">
        <f>IFERROR(VLOOKUP(C657,Akun!B:G,6,FALSE),0)</f>
        <v>0</v>
      </c>
      <c r="E657" s="83"/>
      <c r="F657" s="49"/>
      <c r="G657" s="49"/>
      <c r="H657" s="49"/>
    </row>
    <row r="658" spans="1:8">
      <c r="A658" s="259"/>
      <c r="C658" s="49"/>
      <c r="D658" s="114">
        <f>IFERROR(VLOOKUP(C658,Akun!B:G,6,FALSE),0)</f>
        <v>0</v>
      </c>
      <c r="E658" s="83"/>
      <c r="F658" s="49"/>
      <c r="G658" s="49"/>
      <c r="H658" s="49"/>
    </row>
    <row r="659" spans="1:8">
      <c r="A659" s="259"/>
      <c r="C659" s="49"/>
      <c r="D659" s="114">
        <f>IFERROR(VLOOKUP(C659,Akun!B:G,6,FALSE),0)</f>
        <v>0</v>
      </c>
      <c r="E659" s="83"/>
      <c r="F659" s="49"/>
      <c r="G659" s="49"/>
      <c r="H659" s="49"/>
    </row>
    <row r="660" spans="1:8">
      <c r="A660" s="259"/>
      <c r="C660" s="49"/>
      <c r="D660" s="114">
        <f>IFERROR(VLOOKUP(C660,Akun!B:G,6,FALSE),0)</f>
        <v>0</v>
      </c>
      <c r="E660" s="83"/>
      <c r="F660" s="49"/>
      <c r="G660" s="49"/>
      <c r="H660" s="49"/>
    </row>
    <row r="661" spans="1:8">
      <c r="A661" s="259"/>
      <c r="C661" s="49"/>
      <c r="D661" s="114">
        <f>IFERROR(VLOOKUP(C661,Akun!B:G,6,FALSE),0)</f>
        <v>0</v>
      </c>
      <c r="E661" s="83"/>
      <c r="F661" s="49"/>
      <c r="G661" s="49"/>
      <c r="H661" s="49"/>
    </row>
    <row r="662" spans="1:8">
      <c r="A662" s="259"/>
      <c r="C662" s="49"/>
      <c r="D662" s="114">
        <f>IFERROR(VLOOKUP(C662,Akun!B:G,6,FALSE),0)</f>
        <v>0</v>
      </c>
      <c r="E662" s="83"/>
      <c r="F662" s="49"/>
      <c r="G662" s="49"/>
      <c r="H662" s="49"/>
    </row>
    <row r="663" spans="1:8">
      <c r="A663" s="259"/>
      <c r="C663" s="49"/>
      <c r="D663" s="114">
        <f>IFERROR(VLOOKUP(C663,Akun!B:G,6,FALSE),0)</f>
        <v>0</v>
      </c>
      <c r="E663" s="83"/>
      <c r="F663" s="49"/>
      <c r="G663" s="49"/>
      <c r="H663" s="49"/>
    </row>
    <row r="664" spans="1:8">
      <c r="A664" s="259"/>
      <c r="C664" s="49"/>
      <c r="D664" s="114">
        <f>IFERROR(VLOOKUP(C664,Akun!B:G,6,FALSE),0)</f>
        <v>0</v>
      </c>
      <c r="E664" s="83"/>
      <c r="F664" s="49"/>
      <c r="G664" s="49"/>
      <c r="H664" s="49"/>
    </row>
    <row r="665" spans="1:8">
      <c r="A665" s="259"/>
      <c r="C665" s="49"/>
      <c r="D665" s="114">
        <f>IFERROR(VLOOKUP(C665,Akun!B:G,6,FALSE),0)</f>
        <v>0</v>
      </c>
      <c r="E665" s="83"/>
      <c r="F665" s="49"/>
      <c r="G665" s="49"/>
      <c r="H665" s="49"/>
    </row>
    <row r="666" spans="1:8">
      <c r="A666" s="259"/>
      <c r="C666" s="49"/>
      <c r="D666" s="114">
        <f>IFERROR(VLOOKUP(C666,Akun!B:G,6,FALSE),0)</f>
        <v>0</v>
      </c>
      <c r="E666" s="83"/>
      <c r="F666" s="49"/>
      <c r="G666" s="49"/>
      <c r="H666" s="49"/>
    </row>
    <row r="667" spans="1:8">
      <c r="A667" s="259"/>
      <c r="C667" s="49"/>
      <c r="D667" s="114">
        <f>IFERROR(VLOOKUP(C667,Akun!B:G,6,FALSE),0)</f>
        <v>0</v>
      </c>
      <c r="E667" s="83"/>
      <c r="F667" s="49"/>
      <c r="G667" s="49"/>
      <c r="H667" s="49"/>
    </row>
    <row r="668" spans="1:8">
      <c r="C668" s="49"/>
      <c r="D668" s="114">
        <f>IFERROR(VLOOKUP(C668,Akun!B:G,6,FALSE),0)</f>
        <v>0</v>
      </c>
      <c r="E668" s="83"/>
      <c r="F668" s="49"/>
      <c r="G668" s="49"/>
      <c r="H668" s="49"/>
    </row>
    <row r="669" spans="1:8">
      <c r="C669" s="49"/>
      <c r="D669" s="114">
        <f>IFERROR(VLOOKUP(C669,Akun!B:G,6,FALSE),0)</f>
        <v>0</v>
      </c>
      <c r="E669" s="83"/>
      <c r="F669" s="49"/>
      <c r="G669" s="49"/>
      <c r="H669" s="49"/>
    </row>
    <row r="670" spans="1:8">
      <c r="C670" s="49"/>
      <c r="D670" s="114">
        <f>IFERROR(VLOOKUP(C670,Akun!B:G,6,FALSE),0)</f>
        <v>0</v>
      </c>
      <c r="E670" s="83"/>
      <c r="F670" s="49"/>
      <c r="G670" s="49"/>
      <c r="H670" s="49"/>
    </row>
    <row r="671" spans="1:8">
      <c r="C671" s="49"/>
      <c r="D671" s="114">
        <f>IFERROR(VLOOKUP(C671,Akun!B:G,6,FALSE),0)</f>
        <v>0</v>
      </c>
      <c r="E671" s="83"/>
      <c r="F671" s="49"/>
      <c r="G671" s="49"/>
      <c r="H671" s="49"/>
    </row>
    <row r="672" spans="1:8">
      <c r="C672" s="49"/>
      <c r="D672" s="114">
        <f>IFERROR(VLOOKUP(C672,Akun!B:G,6,FALSE),0)</f>
        <v>0</v>
      </c>
      <c r="E672" s="83"/>
      <c r="F672" s="49"/>
      <c r="G672" s="49"/>
      <c r="H672" s="49"/>
    </row>
    <row r="673" spans="3:8">
      <c r="C673" s="49"/>
      <c r="D673" s="114">
        <f>IFERROR(VLOOKUP(C673,Akun!B:G,6,FALSE),0)</f>
        <v>0</v>
      </c>
      <c r="E673" s="83"/>
      <c r="F673" s="49"/>
      <c r="G673" s="49"/>
      <c r="H673" s="49"/>
    </row>
    <row r="674" spans="3:8">
      <c r="C674" s="49"/>
      <c r="D674" s="114">
        <f>IFERROR(VLOOKUP(C674,Akun!B:G,6,FALSE),0)</f>
        <v>0</v>
      </c>
      <c r="E674" s="83"/>
      <c r="F674" s="49"/>
      <c r="G674" s="49"/>
      <c r="H674" s="49"/>
    </row>
    <row r="675" spans="3:8">
      <c r="C675" s="49"/>
      <c r="D675" s="114">
        <f>IFERROR(VLOOKUP(C675,Akun!B:G,6,FALSE),0)</f>
        <v>0</v>
      </c>
      <c r="E675" s="83"/>
      <c r="F675" s="49"/>
      <c r="G675" s="49"/>
      <c r="H675" s="49"/>
    </row>
    <row r="676" spans="3:8">
      <c r="C676" s="49"/>
      <c r="D676" s="114">
        <f>IFERROR(VLOOKUP(C676,Akun!B:G,6,FALSE),0)</f>
        <v>0</v>
      </c>
      <c r="E676" s="83"/>
      <c r="F676" s="49"/>
      <c r="G676" s="49"/>
      <c r="H676" s="49"/>
    </row>
    <row r="677" spans="3:8">
      <c r="C677" s="49"/>
      <c r="D677" s="114">
        <f>IFERROR(VLOOKUP(C677,Akun!B:G,6,FALSE),0)</f>
        <v>0</v>
      </c>
      <c r="E677" s="83"/>
      <c r="F677" s="49"/>
      <c r="G677" s="49"/>
      <c r="H677" s="49"/>
    </row>
    <row r="678" spans="3:8">
      <c r="C678" s="49"/>
      <c r="D678" s="114">
        <f>IFERROR(VLOOKUP(C678,Akun!B:G,6,FALSE),0)</f>
        <v>0</v>
      </c>
      <c r="E678" s="83"/>
      <c r="F678" s="49"/>
      <c r="G678" s="49"/>
      <c r="H678" s="49"/>
    </row>
    <row r="679" spans="3:8">
      <c r="C679" s="49"/>
      <c r="D679" s="114">
        <f>IFERROR(VLOOKUP(C679,Akun!B:G,6,FALSE),0)</f>
        <v>0</v>
      </c>
      <c r="E679" s="83"/>
      <c r="F679" s="49"/>
      <c r="G679" s="49"/>
      <c r="H679" s="49"/>
    </row>
    <row r="680" spans="3:8">
      <c r="C680" s="49"/>
      <c r="D680" s="114">
        <f>IFERROR(VLOOKUP(C680,Akun!B:G,6,FALSE),0)</f>
        <v>0</v>
      </c>
      <c r="E680" s="83"/>
      <c r="F680" s="49"/>
      <c r="G680" s="49"/>
      <c r="H680" s="49"/>
    </row>
    <row r="681" spans="3:8">
      <c r="C681" s="49"/>
      <c r="D681" s="114">
        <f>IFERROR(VLOOKUP(C681,Akun!B:G,6,FALSE),0)</f>
        <v>0</v>
      </c>
      <c r="E681" s="83"/>
      <c r="F681" s="49"/>
      <c r="G681" s="49"/>
      <c r="H681" s="49"/>
    </row>
    <row r="682" spans="3:8">
      <c r="C682" s="49"/>
      <c r="D682" s="114">
        <f>IFERROR(VLOOKUP(C682,Akun!B:G,6,FALSE),0)</f>
        <v>0</v>
      </c>
      <c r="E682" s="83"/>
      <c r="F682" s="49"/>
      <c r="G682" s="49"/>
      <c r="H682" s="49"/>
    </row>
    <row r="683" spans="3:8">
      <c r="C683" s="49"/>
      <c r="D683" s="114">
        <f>IFERROR(VLOOKUP(C683,Akun!B:G,6,FALSE),0)</f>
        <v>0</v>
      </c>
      <c r="E683" s="83"/>
      <c r="F683" s="49"/>
      <c r="G683" s="49"/>
      <c r="H683" s="49"/>
    </row>
    <row r="684" spans="3:8">
      <c r="C684" s="49"/>
      <c r="D684" s="114">
        <f>IFERROR(VLOOKUP(C684,Akun!B:G,6,FALSE),0)</f>
        <v>0</v>
      </c>
      <c r="E684" s="83"/>
      <c r="F684" s="49"/>
      <c r="G684" s="49"/>
      <c r="H684" s="49"/>
    </row>
    <row r="685" spans="3:8">
      <c r="C685" s="49"/>
      <c r="D685" s="114">
        <f>IFERROR(VLOOKUP(C685,Akun!B:G,6,FALSE),0)</f>
        <v>0</v>
      </c>
      <c r="E685" s="83"/>
      <c r="F685" s="49"/>
      <c r="G685" s="49"/>
      <c r="H685" s="49"/>
    </row>
    <row r="686" spans="3:8">
      <c r="C686" s="49"/>
      <c r="D686" s="114">
        <f>IFERROR(VLOOKUP(C686,Akun!B:G,6,FALSE),0)</f>
        <v>0</v>
      </c>
      <c r="E686" s="83"/>
      <c r="F686" s="49"/>
      <c r="G686" s="49"/>
      <c r="H686" s="49"/>
    </row>
    <row r="687" spans="3:8">
      <c r="C687" s="49"/>
      <c r="D687" s="114">
        <f>IFERROR(VLOOKUP(C687,Akun!B:G,6,FALSE),0)</f>
        <v>0</v>
      </c>
      <c r="E687" s="83"/>
      <c r="F687" s="49"/>
      <c r="G687" s="49"/>
      <c r="H687" s="49"/>
    </row>
    <row r="688" spans="3:8">
      <c r="C688" s="49"/>
      <c r="D688" s="114">
        <f>IFERROR(VLOOKUP(C688,Akun!B:G,6,FALSE),0)</f>
        <v>0</v>
      </c>
      <c r="E688" s="83"/>
      <c r="F688" s="49"/>
      <c r="G688" s="49"/>
      <c r="H688" s="49"/>
    </row>
    <row r="689" spans="3:8">
      <c r="C689" s="49"/>
      <c r="D689" s="114">
        <f>IFERROR(VLOOKUP(C689,Akun!B:G,6,FALSE),0)</f>
        <v>0</v>
      </c>
      <c r="E689" s="83"/>
      <c r="F689" s="49"/>
      <c r="G689" s="49"/>
      <c r="H689" s="49"/>
    </row>
    <row r="690" spans="3:8">
      <c r="C690" s="49"/>
      <c r="D690" s="114">
        <f>IFERROR(VLOOKUP(C690,Akun!B:G,6,FALSE),0)</f>
        <v>0</v>
      </c>
      <c r="E690" s="83"/>
      <c r="F690" s="49"/>
      <c r="G690" s="49"/>
      <c r="H690" s="49"/>
    </row>
    <row r="691" spans="3:8">
      <c r="C691" s="49"/>
      <c r="D691" s="114">
        <f>IFERROR(VLOOKUP(C691,Akun!B:G,6,FALSE),0)</f>
        <v>0</v>
      </c>
      <c r="E691" s="83"/>
      <c r="F691" s="49"/>
      <c r="G691" s="49"/>
      <c r="H691" s="49"/>
    </row>
    <row r="692" spans="3:8">
      <c r="C692" s="49"/>
      <c r="D692" s="114">
        <f>IFERROR(VLOOKUP(C692,Akun!B:G,6,FALSE),0)</f>
        <v>0</v>
      </c>
      <c r="E692" s="83"/>
      <c r="F692" s="49"/>
      <c r="G692" s="49"/>
      <c r="H692" s="49"/>
    </row>
    <row r="693" spans="3:8">
      <c r="C693" s="49"/>
      <c r="D693" s="114">
        <f>IFERROR(VLOOKUP(C693,Akun!B:G,6,FALSE),0)</f>
        <v>0</v>
      </c>
      <c r="E693" s="83"/>
      <c r="F693" s="49"/>
      <c r="G693" s="49"/>
      <c r="H693" s="49"/>
    </row>
    <row r="694" spans="3:8">
      <c r="C694" s="49"/>
      <c r="D694" s="114">
        <f>IFERROR(VLOOKUP(C694,Akun!B:G,6,FALSE),0)</f>
        <v>0</v>
      </c>
      <c r="E694" s="83"/>
      <c r="F694" s="49"/>
      <c r="G694" s="49"/>
      <c r="H694" s="49"/>
    </row>
    <row r="695" spans="3:8">
      <c r="C695" s="49"/>
      <c r="D695" s="114">
        <f>IFERROR(VLOOKUP(C695,Akun!B:G,6,FALSE),0)</f>
        <v>0</v>
      </c>
      <c r="E695" s="83"/>
      <c r="F695" s="49"/>
      <c r="G695" s="49"/>
      <c r="H695" s="49"/>
    </row>
    <row r="696" spans="3:8">
      <c r="C696" s="49"/>
      <c r="D696" s="114">
        <f>IFERROR(VLOOKUP(C696,Akun!B:G,6,FALSE),0)</f>
        <v>0</v>
      </c>
      <c r="E696" s="83"/>
      <c r="F696" s="49"/>
      <c r="G696" s="49"/>
      <c r="H696" s="49"/>
    </row>
    <row r="697" spans="3:8">
      <c r="C697" s="49"/>
      <c r="D697" s="114">
        <f>IFERROR(VLOOKUP(C697,Akun!B:G,6,FALSE),0)</f>
        <v>0</v>
      </c>
      <c r="E697" s="83"/>
      <c r="F697" s="49"/>
      <c r="G697" s="49"/>
      <c r="H697" s="49"/>
    </row>
    <row r="698" spans="3:8">
      <c r="C698" s="49"/>
      <c r="D698" s="114">
        <f>IFERROR(VLOOKUP(C698,Akun!B:G,6,FALSE),0)</f>
        <v>0</v>
      </c>
      <c r="E698" s="83"/>
      <c r="F698" s="49"/>
      <c r="G698" s="49"/>
      <c r="H698" s="49"/>
    </row>
    <row r="699" spans="3:8">
      <c r="C699" s="49"/>
      <c r="D699" s="114">
        <f>IFERROR(VLOOKUP(C699,Akun!B:G,6,FALSE),0)</f>
        <v>0</v>
      </c>
      <c r="E699" s="83"/>
      <c r="F699" s="49"/>
      <c r="G699" s="49"/>
      <c r="H699" s="49"/>
    </row>
    <row r="700" spans="3:8">
      <c r="C700" s="49"/>
      <c r="D700" s="114">
        <f>IFERROR(VLOOKUP(C700,Akun!B:G,6,FALSE),0)</f>
        <v>0</v>
      </c>
      <c r="E700" s="83"/>
      <c r="F700" s="49"/>
      <c r="G700" s="49"/>
      <c r="H700" s="49"/>
    </row>
    <row r="701" spans="3:8">
      <c r="C701" s="49"/>
      <c r="D701" s="114">
        <f>IFERROR(VLOOKUP(C701,Akun!B:G,6,FALSE),0)</f>
        <v>0</v>
      </c>
      <c r="E701" s="83"/>
      <c r="F701" s="49"/>
      <c r="G701" s="49"/>
      <c r="H701" s="49"/>
    </row>
    <row r="702" spans="3:8">
      <c r="C702" s="49"/>
      <c r="D702" s="114">
        <f>IFERROR(VLOOKUP(C702,Akun!B:G,6,FALSE),0)</f>
        <v>0</v>
      </c>
      <c r="E702" s="83"/>
      <c r="F702" s="49"/>
      <c r="G702" s="49"/>
      <c r="H702" s="49"/>
    </row>
    <row r="703" spans="3:8">
      <c r="C703" s="49"/>
      <c r="D703" s="114">
        <f>IFERROR(VLOOKUP(C703,Akun!B:G,6,FALSE),0)</f>
        <v>0</v>
      </c>
      <c r="E703" s="83"/>
      <c r="F703" s="49"/>
      <c r="G703" s="49"/>
      <c r="H703" s="49"/>
    </row>
    <row r="704" spans="3:8">
      <c r="C704" s="49"/>
      <c r="D704" s="114">
        <f>IFERROR(VLOOKUP(C704,Akun!B:G,6,FALSE),0)</f>
        <v>0</v>
      </c>
      <c r="E704" s="83"/>
      <c r="F704" s="49"/>
      <c r="G704" s="49"/>
      <c r="H704" s="49"/>
    </row>
    <row r="705" spans="3:8">
      <c r="C705" s="49"/>
      <c r="D705" s="114">
        <f>IFERROR(VLOOKUP(C705,Akun!B:G,6,FALSE),0)</f>
        <v>0</v>
      </c>
      <c r="E705" s="83"/>
      <c r="F705" s="49"/>
      <c r="G705" s="49"/>
      <c r="H705" s="49"/>
    </row>
    <row r="706" spans="3:8">
      <c r="C706" s="49"/>
      <c r="D706" s="114">
        <f>IFERROR(VLOOKUP(C706,Akun!B:G,6,FALSE),0)</f>
        <v>0</v>
      </c>
      <c r="E706" s="83"/>
      <c r="F706" s="49"/>
      <c r="G706" s="49"/>
      <c r="H706" s="49"/>
    </row>
    <row r="707" spans="3:8">
      <c r="C707" s="49"/>
      <c r="D707" s="114">
        <f>IFERROR(VLOOKUP(C707,Akun!B:G,6,FALSE),0)</f>
        <v>0</v>
      </c>
      <c r="E707" s="83"/>
      <c r="F707" s="49"/>
      <c r="G707" s="49"/>
      <c r="H707" s="49"/>
    </row>
    <row r="708" spans="3:8">
      <c r="C708" s="49"/>
      <c r="D708" s="114">
        <f>IFERROR(VLOOKUP(C708,Akun!B:G,6,FALSE),0)</f>
        <v>0</v>
      </c>
      <c r="E708" s="83"/>
      <c r="F708" s="49"/>
      <c r="G708" s="49"/>
      <c r="H708" s="49"/>
    </row>
    <row r="709" spans="3:8">
      <c r="C709" s="49"/>
      <c r="D709" s="114">
        <f>IFERROR(VLOOKUP(C709,Akun!B:G,6,FALSE),0)</f>
        <v>0</v>
      </c>
      <c r="E709" s="83"/>
      <c r="F709" s="49"/>
      <c r="G709" s="49"/>
      <c r="H709" s="49"/>
    </row>
    <row r="710" spans="3:8">
      <c r="C710" s="49"/>
      <c r="D710" s="114">
        <f>IFERROR(VLOOKUP(C710,Akun!B:G,6,FALSE),0)</f>
        <v>0</v>
      </c>
      <c r="E710" s="83"/>
      <c r="F710" s="49"/>
      <c r="G710" s="49"/>
      <c r="H710" s="49"/>
    </row>
    <row r="711" spans="3:8">
      <c r="C711" s="49"/>
      <c r="D711" s="114">
        <f>IFERROR(VLOOKUP(C711,Akun!B:G,6,FALSE),0)</f>
        <v>0</v>
      </c>
      <c r="E711" s="83"/>
      <c r="F711" s="49"/>
      <c r="G711" s="49"/>
      <c r="H711" s="49"/>
    </row>
    <row r="712" spans="3:8">
      <c r="C712" s="49"/>
      <c r="D712" s="115"/>
      <c r="E712" s="83"/>
      <c r="F712" s="49"/>
      <c r="G712" s="49"/>
      <c r="H712" s="49"/>
    </row>
    <row r="713" spans="3:8">
      <c r="C713" s="49"/>
      <c r="D713" s="115"/>
      <c r="E713" s="83"/>
      <c r="F713" s="49"/>
      <c r="G713" s="49"/>
      <c r="H713" s="49"/>
    </row>
    <row r="714" spans="3:8">
      <c r="C714" s="49"/>
      <c r="D714" s="115"/>
      <c r="E714" s="83"/>
      <c r="F714" s="49"/>
      <c r="G714" s="49"/>
      <c r="H714" s="49"/>
    </row>
    <row r="715" spans="3:8">
      <c r="C715" s="49"/>
      <c r="D715" s="115"/>
      <c r="E715" s="83"/>
      <c r="F715" s="49"/>
      <c r="G715" s="49"/>
      <c r="H715" s="49"/>
    </row>
    <row r="716" spans="3:8">
      <c r="C716" s="49"/>
      <c r="D716" s="115"/>
      <c r="E716" s="83"/>
      <c r="F716" s="49"/>
      <c r="G716" s="49"/>
      <c r="H716" s="49"/>
    </row>
    <row r="717" spans="3:8">
      <c r="C717" s="49"/>
      <c r="D717" s="115"/>
      <c r="E717" s="83"/>
      <c r="F717" s="49"/>
      <c r="G717" s="49"/>
      <c r="H717" s="49"/>
    </row>
    <row r="718" spans="3:8">
      <c r="C718" s="49"/>
      <c r="D718" s="115"/>
      <c r="E718" s="83"/>
      <c r="F718" s="49"/>
      <c r="G718" s="49"/>
      <c r="H718" s="49"/>
    </row>
    <row r="719" spans="3:8">
      <c r="C719" s="49"/>
      <c r="D719" s="115"/>
      <c r="E719" s="83"/>
      <c r="F719" s="49"/>
      <c r="G719" s="49"/>
      <c r="H719" s="49"/>
    </row>
    <row r="720" spans="3:8">
      <c r="C720" s="49"/>
      <c r="D720" s="115"/>
      <c r="E720" s="83"/>
      <c r="F720" s="49"/>
      <c r="G720" s="49"/>
      <c r="H720" s="49"/>
    </row>
    <row r="721" spans="3:8">
      <c r="C721" s="49"/>
      <c r="D721" s="115"/>
      <c r="E721" s="83"/>
      <c r="F721" s="49"/>
      <c r="G721" s="49"/>
      <c r="H721" s="49"/>
    </row>
    <row r="722" spans="3:8">
      <c r="C722" s="49"/>
      <c r="D722" s="115"/>
      <c r="E722" s="83"/>
      <c r="F722" s="49"/>
      <c r="G722" s="49"/>
      <c r="H722" s="49"/>
    </row>
    <row r="723" spans="3:8">
      <c r="C723" s="49"/>
      <c r="D723" s="115"/>
      <c r="E723" s="83"/>
      <c r="F723" s="49"/>
      <c r="G723" s="49"/>
      <c r="H723" s="49"/>
    </row>
  </sheetData>
  <mergeCells count="7">
    <mergeCell ref="G6:G7"/>
    <mergeCell ref="C6:C7"/>
    <mergeCell ref="B6:B7"/>
    <mergeCell ref="A6:A7"/>
    <mergeCell ref="D6:D7"/>
    <mergeCell ref="E6:E7"/>
    <mergeCell ref="F6:F7"/>
  </mergeCells>
  <dataValidations count="1">
    <dataValidation type="list" allowBlank="1" showInputMessage="1" showErrorMessage="1" sqref="C9:C597">
      <formula1>$I$8:$I$55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768" scale="65" orientation="portrait" horizont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Akun!$B$2:$B$47</xm:f>
          </x14:formula1>
          <xm:sqref>C8:C340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X110"/>
  <sheetViews>
    <sheetView showGridLines="0" tabSelected="1" topLeftCell="E1" zoomScale="85" zoomScaleNormal="85" zoomScaleSheetLayoutView="92" workbookViewId="0">
      <selection activeCell="H23" sqref="H23"/>
    </sheetView>
  </sheetViews>
  <sheetFormatPr defaultColWidth="14.7109375" defaultRowHeight="12.75"/>
  <cols>
    <col min="1" max="1" width="4.7109375" style="16" bestFit="1" customWidth="1"/>
    <col min="2" max="2" width="34.7109375" style="16" bestFit="1" customWidth="1"/>
    <col min="3" max="3" width="12" style="220" bestFit="1" customWidth="1"/>
    <col min="4" max="4" width="7.140625" style="16" bestFit="1" customWidth="1"/>
    <col min="5" max="5" width="11" style="16" bestFit="1" customWidth="1"/>
    <col min="6" max="7" width="12.5703125" style="16" bestFit="1" customWidth="1"/>
    <col min="8" max="9" width="11" style="16" bestFit="1" customWidth="1"/>
    <col min="10" max="10" width="11" style="170" bestFit="1" customWidth="1"/>
    <col min="11" max="11" width="13.85546875" style="170" bestFit="1" customWidth="1"/>
    <col min="12" max="13" width="12.5703125" style="170" bestFit="1" customWidth="1"/>
    <col min="14" max="14" width="14.7109375" style="16"/>
    <col min="15" max="15" width="3.140625" style="16" bestFit="1" customWidth="1"/>
    <col min="16" max="16" width="15.5703125" style="16" bestFit="1" customWidth="1"/>
    <col min="17" max="17" width="5" style="16" bestFit="1" customWidth="1"/>
    <col min="18" max="18" width="9.42578125" style="16" bestFit="1" customWidth="1"/>
    <col min="19" max="19" width="11.5703125" style="16" bestFit="1" customWidth="1"/>
    <col min="20" max="20" width="10.5703125" style="16" bestFit="1" customWidth="1"/>
    <col min="21" max="21" width="9.85546875" style="16" bestFit="1" customWidth="1"/>
    <col min="22" max="22" width="10.5703125" style="16" bestFit="1" customWidth="1"/>
    <col min="23" max="23" width="11.28515625" style="16" customWidth="1"/>
    <col min="24" max="24" width="11.28515625" style="16" bestFit="1" customWidth="1"/>
    <col min="25" max="16384" width="14.7109375" style="16"/>
  </cols>
  <sheetData>
    <row r="1" spans="1:24">
      <c r="A1" s="211" t="s">
        <v>177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pans="1:24">
      <c r="A2" s="211" t="str">
        <f>"AL MADEENA ISLAMIC SCHOOL "&amp; Cover!A5</f>
        <v>AL MADEENA ISLAMIC SCHOOL TAHUN AJARAN 2021 - 2022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24">
      <c r="A3" s="211" t="str">
        <f>Cover!A7</f>
        <v>PERIODE JULI 2022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24">
      <c r="A4" s="70"/>
      <c r="B4" s="70"/>
      <c r="C4" s="212"/>
      <c r="D4" s="70"/>
      <c r="E4" s="70"/>
      <c r="F4" s="70"/>
      <c r="G4" s="70"/>
      <c r="H4" s="70"/>
      <c r="I4" s="70"/>
      <c r="J4" s="70"/>
      <c r="K4" s="70"/>
      <c r="L4" s="70"/>
      <c r="M4" s="70"/>
    </row>
    <row r="5" spans="1:24">
      <c r="A5" s="71"/>
      <c r="B5" s="71"/>
      <c r="C5" s="212"/>
      <c r="D5" s="71"/>
      <c r="E5" s="71"/>
      <c r="F5" s="71"/>
      <c r="G5" s="71"/>
      <c r="H5" s="71"/>
      <c r="I5" s="71"/>
    </row>
    <row r="6" spans="1:24" s="155" customFormat="1" ht="25.5" customHeight="1">
      <c r="A6" s="162" t="s">
        <v>27</v>
      </c>
      <c r="B6" s="160" t="s">
        <v>100</v>
      </c>
      <c r="C6" s="161" t="s">
        <v>178</v>
      </c>
      <c r="D6" s="160" t="s">
        <v>101</v>
      </c>
      <c r="E6" s="160" t="s">
        <v>120</v>
      </c>
      <c r="F6" s="161" t="s">
        <v>138</v>
      </c>
      <c r="G6" s="160" t="s">
        <v>139</v>
      </c>
      <c r="H6" s="160" t="s">
        <v>140</v>
      </c>
      <c r="I6" s="160" t="s">
        <v>141</v>
      </c>
      <c r="J6" s="160" t="s">
        <v>175</v>
      </c>
      <c r="K6" s="163" t="s">
        <v>58</v>
      </c>
      <c r="L6" s="163" t="s">
        <v>179</v>
      </c>
      <c r="M6" s="164" t="s">
        <v>102</v>
      </c>
      <c r="O6" s="426" t="s">
        <v>27</v>
      </c>
      <c r="P6" s="426" t="s">
        <v>101</v>
      </c>
      <c r="Q6" s="426" t="s">
        <v>145</v>
      </c>
      <c r="R6" s="213" t="s">
        <v>130</v>
      </c>
      <c r="S6" s="214"/>
      <c r="T6" s="214"/>
      <c r="U6" s="214"/>
      <c r="V6" s="214"/>
      <c r="W6" s="215"/>
      <c r="X6" s="427" t="s">
        <v>58</v>
      </c>
    </row>
    <row r="7" spans="1:24">
      <c r="A7" s="165">
        <v>1</v>
      </c>
      <c r="B7" s="154"/>
      <c r="C7" s="159"/>
      <c r="D7" s="154"/>
      <c r="E7" s="199" t="str">
        <f>IFERROR(VLOOKUP(Table3[[#This Row],[KELAS]],Q:X,2,FALSE),"")</f>
        <v/>
      </c>
      <c r="F7" s="199" t="str">
        <f>IFERROR(VLOOKUP(Table3[[#This Row],[KELAS]],Q:X,3,FALSE),"")</f>
        <v/>
      </c>
      <c r="G7" s="199" t="str">
        <f>IFERROR(VLOOKUP(Table3[[#This Row],[KELAS]],Q:X,4,FALSE),"")</f>
        <v/>
      </c>
      <c r="H7" s="199" t="str">
        <f>IFERROR(VLOOKUP(Table3[[#This Row],[KELAS]],Q:X,5,FALSE),"")</f>
        <v/>
      </c>
      <c r="I7" s="199" t="str">
        <f>IFERROR(VLOOKUP(Table3[[#This Row],[KELAS]],Q:X,6,FALSE),"")</f>
        <v/>
      </c>
      <c r="J7" s="200"/>
      <c r="K7" s="198">
        <f>SUM(Table3[[#This Row],[PENDAFT.]:[SPP*]])</f>
        <v>0</v>
      </c>
      <c r="L7" s="200"/>
      <c r="M7" s="201">
        <f>Table3[[#This Row],[TOTAL]]-Table3[[#This Row],[DISKON*]]</f>
        <v>0</v>
      </c>
      <c r="O7" s="426"/>
      <c r="P7" s="426"/>
      <c r="Q7" s="426"/>
      <c r="R7" s="216" t="s">
        <v>120</v>
      </c>
      <c r="S7" s="217" t="s">
        <v>138</v>
      </c>
      <c r="T7" s="216" t="s">
        <v>139</v>
      </c>
      <c r="U7" s="216" t="s">
        <v>140</v>
      </c>
      <c r="V7" s="216" t="s">
        <v>141</v>
      </c>
      <c r="W7" s="216" t="s">
        <v>142</v>
      </c>
      <c r="X7" s="428"/>
    </row>
    <row r="8" spans="1:24">
      <c r="A8" s="165">
        <v>2</v>
      </c>
      <c r="B8" s="154"/>
      <c r="C8" s="159"/>
      <c r="D8" s="154"/>
      <c r="E8" s="199" t="str">
        <f>IFERROR(VLOOKUP(Table3[[#This Row],[KELAS]],Q:X,2,FALSE),"")</f>
        <v/>
      </c>
      <c r="F8" s="199" t="str">
        <f>IFERROR(VLOOKUP(Table3[[#This Row],[KELAS]],Q:X,3,FALSE),"")</f>
        <v/>
      </c>
      <c r="G8" s="199" t="str">
        <f>IFERROR(VLOOKUP(Table3[[#This Row],[KELAS]],Q:X,4,FALSE),"")</f>
        <v/>
      </c>
      <c r="H8" s="199" t="str">
        <f>IFERROR(VLOOKUP(Table3[[#This Row],[KELAS]],Q:X,5,FALSE),"")</f>
        <v/>
      </c>
      <c r="I8" s="199" t="str">
        <f>IFERROR(VLOOKUP(Table3[[#This Row],[KELAS]],Q:X,6,FALSE),"")</f>
        <v/>
      </c>
      <c r="J8" s="200"/>
      <c r="K8" s="198">
        <f>SUM(Table3[[#This Row],[PENDAFT.]:[SPP*]])</f>
        <v>0</v>
      </c>
      <c r="L8" s="200"/>
      <c r="M8" s="201">
        <f>Table3[[#This Row],[TOTAL]]-Table3[[#This Row],[DISKON*]]</f>
        <v>0</v>
      </c>
      <c r="O8" s="218">
        <v>1</v>
      </c>
      <c r="P8" s="79" t="s">
        <v>143</v>
      </c>
      <c r="Q8" s="79" t="s">
        <v>146</v>
      </c>
      <c r="R8" s="80">
        <v>350000</v>
      </c>
      <c r="S8" s="80">
        <v>8000000</v>
      </c>
      <c r="T8" s="80">
        <v>2000000</v>
      </c>
      <c r="U8" s="80">
        <v>800000</v>
      </c>
      <c r="V8" s="81">
        <v>500000</v>
      </c>
      <c r="W8" s="81">
        <v>550000</v>
      </c>
      <c r="X8" s="69">
        <f>SUM(R8:W8)</f>
        <v>12200000</v>
      </c>
    </row>
    <row r="9" spans="1:24">
      <c r="A9" s="165">
        <v>3</v>
      </c>
      <c r="B9" s="154"/>
      <c r="C9" s="159"/>
      <c r="D9" s="154"/>
      <c r="E9" s="199" t="str">
        <f>IFERROR(VLOOKUP(Table3[[#This Row],[KELAS]],Q:X,2,FALSE),"")</f>
        <v/>
      </c>
      <c r="F9" s="199" t="str">
        <f>IFERROR(VLOOKUP(Table3[[#This Row],[KELAS]],Q:X,3,FALSE),"")</f>
        <v/>
      </c>
      <c r="G9" s="199" t="str">
        <f>IFERROR(VLOOKUP(Table3[[#This Row],[KELAS]],Q:X,4,FALSE),"")</f>
        <v/>
      </c>
      <c r="H9" s="199" t="str">
        <f>IFERROR(VLOOKUP(Table3[[#This Row],[KELAS]],Q:X,5,FALSE),"")</f>
        <v/>
      </c>
      <c r="I9" s="199" t="str">
        <f>IFERROR(VLOOKUP(Table3[[#This Row],[KELAS]],Q:X,6,FALSE),"")</f>
        <v/>
      </c>
      <c r="J9" s="200"/>
      <c r="K9" s="198">
        <f>SUM(Table3[[#This Row],[PENDAFT.]:[SPP*]])</f>
        <v>0</v>
      </c>
      <c r="L9" s="200"/>
      <c r="M9" s="201">
        <f>Table3[[#This Row],[TOTAL]]-Table3[[#This Row],[DISKON*]]</f>
        <v>0</v>
      </c>
      <c r="O9" s="218">
        <v>2</v>
      </c>
      <c r="P9" s="79" t="s">
        <v>144</v>
      </c>
      <c r="Q9" s="79" t="s">
        <v>147</v>
      </c>
      <c r="R9" s="80">
        <v>350000</v>
      </c>
      <c r="S9" s="80">
        <v>8000000</v>
      </c>
      <c r="T9" s="80">
        <v>2000000</v>
      </c>
      <c r="U9" s="80">
        <v>800000</v>
      </c>
      <c r="V9" s="81">
        <v>1000000</v>
      </c>
      <c r="W9" s="81">
        <v>550000</v>
      </c>
      <c r="X9" s="69">
        <f>SUM(R9:W9)</f>
        <v>12700000</v>
      </c>
    </row>
    <row r="10" spans="1:24">
      <c r="A10" s="165">
        <v>4</v>
      </c>
      <c r="B10" s="154"/>
      <c r="C10" s="159"/>
      <c r="D10" s="154"/>
      <c r="E10" s="199" t="str">
        <f>IFERROR(VLOOKUP(Table3[[#This Row],[KELAS]],Q:X,2,FALSE),"")</f>
        <v/>
      </c>
      <c r="F10" s="199" t="str">
        <f>IFERROR(VLOOKUP(Table3[[#This Row],[KELAS]],Q:X,3,FALSE),"")</f>
        <v/>
      </c>
      <c r="G10" s="199" t="str">
        <f>IFERROR(VLOOKUP(Table3[[#This Row],[KELAS]],Q:X,4,FALSE),"")</f>
        <v/>
      </c>
      <c r="H10" s="199" t="str">
        <f>IFERROR(VLOOKUP(Table3[[#This Row],[KELAS]],Q:X,5,FALSE),"")</f>
        <v/>
      </c>
      <c r="I10" s="199" t="str">
        <f>IFERROR(VLOOKUP(Table3[[#This Row],[KELAS]],Q:X,6,FALSE),"")</f>
        <v/>
      </c>
      <c r="J10" s="200"/>
      <c r="K10" s="198">
        <f>SUM(Table3[[#This Row],[PENDAFT.]:[SPP*]])</f>
        <v>0</v>
      </c>
      <c r="L10" s="200"/>
      <c r="M10" s="201">
        <f>Table3[[#This Row],[TOTAL]]-Table3[[#This Row],[DISKON*]]</f>
        <v>0</v>
      </c>
    </row>
    <row r="11" spans="1:24">
      <c r="A11" s="165">
        <v>5</v>
      </c>
      <c r="B11" s="154"/>
      <c r="C11" s="159"/>
      <c r="D11" s="154"/>
      <c r="E11" s="199" t="str">
        <f>IFERROR(VLOOKUP(Table3[[#This Row],[KELAS]],Q:X,2,FALSE),"")</f>
        <v/>
      </c>
      <c r="F11" s="199" t="str">
        <f>IFERROR(VLOOKUP(Table3[[#This Row],[KELAS]],Q:X,3,FALSE),"")</f>
        <v/>
      </c>
      <c r="G11" s="199" t="str">
        <f>IFERROR(VLOOKUP(Table3[[#This Row],[KELAS]],Q:X,4,FALSE),"")</f>
        <v/>
      </c>
      <c r="H11" s="199" t="str">
        <f>IFERROR(VLOOKUP(Table3[[#This Row],[KELAS]],Q:X,5,FALSE),"")</f>
        <v/>
      </c>
      <c r="I11" s="199" t="str">
        <f>IFERROR(VLOOKUP(Table3[[#This Row],[KELAS]],Q:X,6,FALSE),"")</f>
        <v/>
      </c>
      <c r="J11" s="200"/>
      <c r="K11" s="198">
        <f>SUM(Table3[[#This Row],[PENDAFT.]:[SPP*]])</f>
        <v>0</v>
      </c>
      <c r="L11" s="200"/>
      <c r="M11" s="201">
        <f>Table3[[#This Row],[TOTAL]]-Table3[[#This Row],[DISKON*]]</f>
        <v>0</v>
      </c>
    </row>
    <row r="12" spans="1:24">
      <c r="A12" s="165">
        <v>6</v>
      </c>
      <c r="B12" s="156"/>
      <c r="C12" s="219"/>
      <c r="D12" s="154"/>
      <c r="E12" s="202" t="str">
        <f>IFERROR(VLOOKUP(Table3[[#This Row],[KELAS]],Q:X,2,FALSE),"")</f>
        <v/>
      </c>
      <c r="F12" s="202" t="str">
        <f>IFERROR(VLOOKUP(Table3[[#This Row],[KELAS]],Q:X,3,FALSE),"")</f>
        <v/>
      </c>
      <c r="G12" s="202" t="str">
        <f>IFERROR(VLOOKUP(Table3[[#This Row],[KELAS]],Q:X,4,FALSE),"")</f>
        <v/>
      </c>
      <c r="H12" s="202" t="str">
        <f>IFERROR(VLOOKUP(Table3[[#This Row],[KELAS]],Q:X,5,FALSE),"")</f>
        <v/>
      </c>
      <c r="I12" s="202" t="str">
        <f>IFERROR(VLOOKUP(Table3[[#This Row],[KELAS]],Q:X,6,FALSE),"")</f>
        <v/>
      </c>
      <c r="J12" s="203"/>
      <c r="K12" s="204">
        <f>SUM(Table3[[#This Row],[PENDAFT.]:[SPP*]])</f>
        <v>0</v>
      </c>
      <c r="L12" s="203"/>
      <c r="M12" s="205">
        <f>Table3[[#This Row],[TOTAL]]-Table3[[#This Row],[DISKON*]]</f>
        <v>0</v>
      </c>
    </row>
    <row r="13" spans="1:24">
      <c r="A13" s="165">
        <v>7</v>
      </c>
      <c r="B13" s="156"/>
      <c r="C13" s="219"/>
      <c r="D13" s="154"/>
      <c r="E13" s="202" t="str">
        <f>IFERROR(VLOOKUP(Table3[[#This Row],[KELAS]],Q:X,2,FALSE),"")</f>
        <v/>
      </c>
      <c r="F13" s="202" t="str">
        <f>IFERROR(VLOOKUP(Table3[[#This Row],[KELAS]],Q:X,3,FALSE),"")</f>
        <v/>
      </c>
      <c r="G13" s="202" t="str">
        <f>IFERROR(VLOOKUP(Table3[[#This Row],[KELAS]],Q:X,4,FALSE),"")</f>
        <v/>
      </c>
      <c r="H13" s="202" t="str">
        <f>IFERROR(VLOOKUP(Table3[[#This Row],[KELAS]],Q:X,5,FALSE),"")</f>
        <v/>
      </c>
      <c r="I13" s="202" t="str">
        <f>IFERROR(VLOOKUP(Table3[[#This Row],[KELAS]],Q:X,6,FALSE),"")</f>
        <v/>
      </c>
      <c r="J13" s="203"/>
      <c r="K13" s="204">
        <f>SUM(Table3[[#This Row],[PENDAFT.]:[SPP*]])</f>
        <v>0</v>
      </c>
      <c r="L13" s="203"/>
      <c r="M13" s="205">
        <f>Table3[[#This Row],[TOTAL]]-Table3[[#This Row],[DISKON*]]</f>
        <v>0</v>
      </c>
    </row>
    <row r="14" spans="1:24">
      <c r="A14" s="165">
        <v>8</v>
      </c>
      <c r="B14" s="156"/>
      <c r="C14" s="219"/>
      <c r="D14" s="154"/>
      <c r="E14" s="202" t="str">
        <f>IFERROR(VLOOKUP(Table3[[#This Row],[KELAS]],Q:X,2,FALSE),"")</f>
        <v/>
      </c>
      <c r="F14" s="202" t="str">
        <f>IFERROR(VLOOKUP(Table3[[#This Row],[KELAS]],Q:X,3,FALSE),"")</f>
        <v/>
      </c>
      <c r="G14" s="202" t="str">
        <f>IFERROR(VLOOKUP(Table3[[#This Row],[KELAS]],Q:X,4,FALSE),"")</f>
        <v/>
      </c>
      <c r="H14" s="202" t="str">
        <f>IFERROR(VLOOKUP(Table3[[#This Row],[KELAS]],Q:X,5,FALSE),"")</f>
        <v/>
      </c>
      <c r="I14" s="202" t="str">
        <f>IFERROR(VLOOKUP(Table3[[#This Row],[KELAS]],Q:X,6,FALSE),"")</f>
        <v/>
      </c>
      <c r="J14" s="203"/>
      <c r="K14" s="204">
        <f>SUM(Table3[[#This Row],[PENDAFT.]:[SPP*]])</f>
        <v>0</v>
      </c>
      <c r="L14" s="203"/>
      <c r="M14" s="205">
        <f>Table3[[#This Row],[TOTAL]]-Table3[[#This Row],[DISKON*]]</f>
        <v>0</v>
      </c>
    </row>
    <row r="15" spans="1:24">
      <c r="A15" s="165">
        <v>9</v>
      </c>
      <c r="B15" s="156"/>
      <c r="C15" s="219"/>
      <c r="D15" s="154"/>
      <c r="E15" s="202" t="str">
        <f>IFERROR(VLOOKUP(Table3[[#This Row],[KELAS]],Q:X,2,FALSE),"")</f>
        <v/>
      </c>
      <c r="F15" s="202" t="str">
        <f>IFERROR(VLOOKUP(Table3[[#This Row],[KELAS]],Q:X,3,FALSE),"")</f>
        <v/>
      </c>
      <c r="G15" s="202" t="str">
        <f>IFERROR(VLOOKUP(Table3[[#This Row],[KELAS]],Q:X,4,FALSE),"")</f>
        <v/>
      </c>
      <c r="H15" s="202" t="str">
        <f>IFERROR(VLOOKUP(Table3[[#This Row],[KELAS]],Q:X,5,FALSE),"")</f>
        <v/>
      </c>
      <c r="I15" s="202" t="str">
        <f>IFERROR(VLOOKUP(Table3[[#This Row],[KELAS]],Q:X,6,FALSE),"")</f>
        <v/>
      </c>
      <c r="J15" s="203"/>
      <c r="K15" s="204">
        <f>SUM(Table3[[#This Row],[PENDAFT.]:[SPP*]])</f>
        <v>0</v>
      </c>
      <c r="L15" s="203"/>
      <c r="M15" s="205">
        <f>Table3[[#This Row],[TOTAL]]-Table3[[#This Row],[DISKON*]]</f>
        <v>0</v>
      </c>
    </row>
    <row r="16" spans="1:24" s="403" customFormat="1">
      <c r="A16" s="396">
        <v>10</v>
      </c>
      <c r="B16" s="397"/>
      <c r="C16" s="398"/>
      <c r="D16" s="399"/>
      <c r="E16" s="400" t="str">
        <f>IFERROR(VLOOKUP(Table3[[#This Row],[KELAS]],Q:X,2,FALSE),"")</f>
        <v/>
      </c>
      <c r="F16" s="400" t="str">
        <f>IFERROR(VLOOKUP(Table3[[#This Row],[KELAS]],Q:X,3,FALSE),"")</f>
        <v/>
      </c>
      <c r="G16" s="400" t="str">
        <f>IFERROR(VLOOKUP(Table3[[#This Row],[KELAS]],Q:X,4,FALSE),"")</f>
        <v/>
      </c>
      <c r="H16" s="400" t="str">
        <f>IFERROR(VLOOKUP(Table3[[#This Row],[KELAS]],Q:X,5,FALSE),"")</f>
        <v/>
      </c>
      <c r="I16" s="400" t="str">
        <f>IFERROR(VLOOKUP(Table3[[#This Row],[KELAS]],Q:X,6,FALSE),"")</f>
        <v/>
      </c>
      <c r="J16" s="401"/>
      <c r="K16" s="402">
        <f>SUM(Table3[[#This Row],[PENDAFT.]:[SPP*]])</f>
        <v>0</v>
      </c>
      <c r="L16" s="281"/>
      <c r="M16" s="280">
        <f>Table3[[#This Row],[TOTAL]]-Table3[[#This Row],[DISKON*]]</f>
        <v>0</v>
      </c>
    </row>
    <row r="17" spans="1:13">
      <c r="A17" s="165">
        <v>11</v>
      </c>
      <c r="B17" s="156"/>
      <c r="C17" s="219"/>
      <c r="D17" s="154"/>
      <c r="E17" s="202" t="str">
        <f>IFERROR(VLOOKUP(Table3[[#This Row],[KELAS]],Q:X,2,FALSE),"")</f>
        <v/>
      </c>
      <c r="F17" s="202" t="str">
        <f>IFERROR(VLOOKUP(Table3[[#This Row],[KELAS]],Q:X,3,FALSE),"")</f>
        <v/>
      </c>
      <c r="G17" s="202" t="str">
        <f>IFERROR(VLOOKUP(Table3[[#This Row],[KELAS]],Q:X,4,FALSE),"")</f>
        <v/>
      </c>
      <c r="H17" s="202" t="str">
        <f>IFERROR(VLOOKUP(Table3[[#This Row],[KELAS]],Q:X,5,FALSE),"")</f>
        <v/>
      </c>
      <c r="I17" s="202" t="str">
        <f>IFERROR(VLOOKUP(Table3[[#This Row],[KELAS]],Q:X,6,FALSE),"")</f>
        <v/>
      </c>
      <c r="J17" s="203"/>
      <c r="K17" s="204">
        <f>SUM(Table3[[#This Row],[PENDAFT.]:[SPP*]])</f>
        <v>0</v>
      </c>
      <c r="L17" s="281"/>
      <c r="M17" s="280">
        <f>Table3[[#This Row],[TOTAL]]-Table3[[#This Row],[DISKON*]]</f>
        <v>0</v>
      </c>
    </row>
    <row r="18" spans="1:13">
      <c r="A18" s="165">
        <v>12</v>
      </c>
      <c r="B18" s="156"/>
      <c r="C18" s="219"/>
      <c r="D18" s="154"/>
      <c r="E18" s="202" t="str">
        <f>IFERROR(VLOOKUP(Table3[[#This Row],[KELAS]],Q:X,2,FALSE),"")</f>
        <v/>
      </c>
      <c r="F18" s="202" t="str">
        <f>IFERROR(VLOOKUP(Table3[[#This Row],[KELAS]],Q:X,3,FALSE),"")</f>
        <v/>
      </c>
      <c r="G18" s="202" t="str">
        <f>IFERROR(VLOOKUP(Table3[[#This Row],[KELAS]],Q:X,4,FALSE),"")</f>
        <v/>
      </c>
      <c r="H18" s="202" t="str">
        <f>IFERROR(VLOOKUP(Table3[[#This Row],[KELAS]],Q:X,5,FALSE),"")</f>
        <v/>
      </c>
      <c r="I18" s="202" t="str">
        <f>IFERROR(VLOOKUP(Table3[[#This Row],[KELAS]],Q:X,6,FALSE),"")</f>
        <v/>
      </c>
      <c r="J18" s="203"/>
      <c r="K18" s="204">
        <f>SUM(Table3[[#This Row],[PENDAFT.]:[SPP*]])</f>
        <v>0</v>
      </c>
      <c r="L18" s="203"/>
      <c r="M18" s="205">
        <f>Table3[[#This Row],[TOTAL]]-Table3[[#This Row],[DISKON*]]</f>
        <v>0</v>
      </c>
    </row>
    <row r="19" spans="1:13">
      <c r="A19" s="165">
        <v>13</v>
      </c>
      <c r="B19" s="156"/>
      <c r="C19" s="219"/>
      <c r="D19" s="154"/>
      <c r="E19" s="202" t="str">
        <f>IFERROR(VLOOKUP(Table3[[#This Row],[KELAS]],Q:X,2,FALSE),"")</f>
        <v/>
      </c>
      <c r="F19" s="202" t="str">
        <f>IFERROR(VLOOKUP(Table3[[#This Row],[KELAS]],Q:X,3,FALSE),"")</f>
        <v/>
      </c>
      <c r="G19" s="202" t="str">
        <f>IFERROR(VLOOKUP(Table3[[#This Row],[KELAS]],Q:X,4,FALSE),"")</f>
        <v/>
      </c>
      <c r="H19" s="202" t="str">
        <f>IFERROR(VLOOKUP(Table3[[#This Row],[KELAS]],Q:X,5,FALSE),"")</f>
        <v/>
      </c>
      <c r="I19" s="202" t="str">
        <f>IFERROR(VLOOKUP(Table3[[#This Row],[KELAS]],Q:X,6,FALSE),"")</f>
        <v/>
      </c>
      <c r="J19" s="203"/>
      <c r="K19" s="204">
        <f>SUM(Table3[[#This Row],[PENDAFT.]:[SPP*]])</f>
        <v>0</v>
      </c>
      <c r="L19" s="203"/>
      <c r="M19" s="205">
        <f>Table3[[#This Row],[TOTAL]]-Table3[[#This Row],[DISKON*]]</f>
        <v>0</v>
      </c>
    </row>
    <row r="20" spans="1:13">
      <c r="A20" s="165">
        <v>14</v>
      </c>
      <c r="B20" s="156"/>
      <c r="C20" s="219"/>
      <c r="D20" s="154"/>
      <c r="E20" s="202" t="str">
        <f>IFERROR(VLOOKUP(Table3[[#This Row],[KELAS]],Q:X,2,FALSE),"")</f>
        <v/>
      </c>
      <c r="F20" s="202" t="str">
        <f>IFERROR(VLOOKUP(Table3[[#This Row],[KELAS]],Q:X,3,FALSE),"")</f>
        <v/>
      </c>
      <c r="G20" s="202" t="str">
        <f>IFERROR(VLOOKUP(Table3[[#This Row],[KELAS]],Q:X,4,FALSE),"")</f>
        <v/>
      </c>
      <c r="H20" s="202" t="str">
        <f>IFERROR(VLOOKUP(Table3[[#This Row],[KELAS]],Q:X,5,FALSE),"")</f>
        <v/>
      </c>
      <c r="I20" s="202" t="str">
        <f>IFERROR(VLOOKUP(Table3[[#This Row],[KELAS]],Q:X,6,FALSE),"")</f>
        <v/>
      </c>
      <c r="J20" s="203"/>
      <c r="K20" s="204">
        <f>SUM(Table3[[#This Row],[PENDAFT.]:[SPP*]])</f>
        <v>0</v>
      </c>
      <c r="L20" s="203"/>
      <c r="M20" s="205">
        <f>Table3[[#This Row],[TOTAL]]-Table3[[#This Row],[DISKON*]]</f>
        <v>0</v>
      </c>
    </row>
    <row r="21" spans="1:13">
      <c r="A21" s="165">
        <v>15</v>
      </c>
      <c r="B21" s="156"/>
      <c r="C21" s="219"/>
      <c r="D21" s="154"/>
      <c r="E21" s="202" t="str">
        <f>IFERROR(VLOOKUP(Table3[[#This Row],[KELAS]],Q:X,2,FALSE),"")</f>
        <v/>
      </c>
      <c r="F21" s="202" t="str">
        <f>IFERROR(VLOOKUP(Table3[[#This Row],[KELAS]],Q:X,3,FALSE),"")</f>
        <v/>
      </c>
      <c r="G21" s="202" t="str">
        <f>IFERROR(VLOOKUP(Table3[[#This Row],[KELAS]],Q:X,4,FALSE),"")</f>
        <v/>
      </c>
      <c r="H21" s="202" t="str">
        <f>IFERROR(VLOOKUP(Table3[[#This Row],[KELAS]],Q:X,5,FALSE),"")</f>
        <v/>
      </c>
      <c r="I21" s="202" t="str">
        <f>IFERROR(VLOOKUP(Table3[[#This Row],[KELAS]],Q:X,6,FALSE),"")</f>
        <v/>
      </c>
      <c r="J21" s="203"/>
      <c r="K21" s="204">
        <f>SUM(Table3[[#This Row],[PENDAFT.]:[SPP*]])</f>
        <v>0</v>
      </c>
      <c r="L21" s="203"/>
      <c r="M21" s="205">
        <f>Table3[[#This Row],[TOTAL]]-Table3[[#This Row],[DISKON*]]</f>
        <v>0</v>
      </c>
    </row>
    <row r="22" spans="1:13">
      <c r="A22" s="165">
        <v>16</v>
      </c>
      <c r="B22" s="156"/>
      <c r="C22" s="219"/>
      <c r="D22" s="154"/>
      <c r="E22" s="202" t="str">
        <f>IFERROR(VLOOKUP(Table3[[#This Row],[KELAS]],Q:X,2,FALSE),"")</f>
        <v/>
      </c>
      <c r="F22" s="202" t="str">
        <f>IFERROR(VLOOKUP(Table3[[#This Row],[KELAS]],Q:X,3,FALSE),"")</f>
        <v/>
      </c>
      <c r="G22" s="202" t="str">
        <f>IFERROR(VLOOKUP(Table3[[#This Row],[KELAS]],Q:X,4,FALSE),"")</f>
        <v/>
      </c>
      <c r="H22" s="202" t="str">
        <f>IFERROR(VLOOKUP(Table3[[#This Row],[KELAS]],Q:X,5,FALSE),"")</f>
        <v/>
      </c>
      <c r="I22" s="202" t="str">
        <f>IFERROR(VLOOKUP(Table3[[#This Row],[KELAS]],Q:X,6,FALSE),"")</f>
        <v/>
      </c>
      <c r="J22" s="203"/>
      <c r="K22" s="204">
        <f>SUM(Table3[[#This Row],[PENDAFT.]:[SPP*]])</f>
        <v>0</v>
      </c>
      <c r="L22" s="203"/>
      <c r="M22" s="205">
        <f>Table3[[#This Row],[TOTAL]]-Table3[[#This Row],[DISKON*]]</f>
        <v>0</v>
      </c>
    </row>
    <row r="23" spans="1:13">
      <c r="A23" s="165">
        <v>17</v>
      </c>
      <c r="B23" s="156"/>
      <c r="C23" s="219"/>
      <c r="D23" s="154"/>
      <c r="E23" s="202" t="str">
        <f>IFERROR(VLOOKUP(Table3[[#This Row],[KELAS]],Q:X,2,FALSE),"")</f>
        <v/>
      </c>
      <c r="F23" s="202" t="str">
        <f>IFERROR(VLOOKUP(Table3[[#This Row],[KELAS]],Q:X,3,FALSE),"")</f>
        <v/>
      </c>
      <c r="G23" s="202" t="str">
        <f>IFERROR(VLOOKUP(Table3[[#This Row],[KELAS]],Q:X,4,FALSE),"")</f>
        <v/>
      </c>
      <c r="H23" s="202" t="str">
        <f>IFERROR(VLOOKUP(Table3[[#This Row],[KELAS]],Q:X,5,FALSE),"")</f>
        <v/>
      </c>
      <c r="I23" s="202" t="str">
        <f>IFERROR(VLOOKUP(Table3[[#This Row],[KELAS]],Q:X,6,FALSE),"")</f>
        <v/>
      </c>
      <c r="J23" s="203"/>
      <c r="K23" s="204">
        <f>SUM(Table3[[#This Row],[PENDAFT.]:[SPP*]])</f>
        <v>0</v>
      </c>
      <c r="L23" s="203"/>
      <c r="M23" s="205">
        <f>Table3[[#This Row],[TOTAL]]-Table3[[#This Row],[DISKON*]]</f>
        <v>0</v>
      </c>
    </row>
    <row r="24" spans="1:13">
      <c r="A24" s="165">
        <v>18</v>
      </c>
      <c r="B24" s="156"/>
      <c r="C24" s="219"/>
      <c r="D24" s="154"/>
      <c r="E24" s="202" t="str">
        <f>IFERROR(VLOOKUP(Table3[[#This Row],[KELAS]],Q:X,2,FALSE),"")</f>
        <v/>
      </c>
      <c r="F24" s="202" t="str">
        <f>IFERROR(VLOOKUP(Table3[[#This Row],[KELAS]],Q:X,3,FALSE),"")</f>
        <v/>
      </c>
      <c r="G24" s="202" t="str">
        <f>IFERROR(VLOOKUP(Table3[[#This Row],[KELAS]],Q:X,4,FALSE),"")</f>
        <v/>
      </c>
      <c r="H24" s="202" t="str">
        <f>IFERROR(VLOOKUP(Table3[[#This Row],[KELAS]],Q:X,5,FALSE),"")</f>
        <v/>
      </c>
      <c r="I24" s="202" t="str">
        <f>IFERROR(VLOOKUP(Table3[[#This Row],[KELAS]],Q:X,6,FALSE),"")</f>
        <v/>
      </c>
      <c r="J24" s="203"/>
      <c r="K24" s="204">
        <f>SUM(Table3[[#This Row],[PENDAFT.]:[SPP*]])</f>
        <v>0</v>
      </c>
      <c r="L24" s="203"/>
      <c r="M24" s="205">
        <f>Table3[[#This Row],[TOTAL]]-Table3[[#This Row],[DISKON*]]</f>
        <v>0</v>
      </c>
    </row>
    <row r="25" spans="1:13">
      <c r="A25" s="165">
        <v>19</v>
      </c>
      <c r="B25" s="156"/>
      <c r="C25" s="219"/>
      <c r="D25" s="154"/>
      <c r="E25" s="202" t="str">
        <f>IFERROR(VLOOKUP(Table3[[#This Row],[KELAS]],Q:X,2,FALSE),"")</f>
        <v/>
      </c>
      <c r="F25" s="202" t="str">
        <f>IFERROR(VLOOKUP(Table3[[#This Row],[KELAS]],Q:X,3,FALSE),"")</f>
        <v/>
      </c>
      <c r="G25" s="202" t="str">
        <f>IFERROR(VLOOKUP(Table3[[#This Row],[KELAS]],Q:X,4,FALSE),"")</f>
        <v/>
      </c>
      <c r="H25" s="202" t="str">
        <f>IFERROR(VLOOKUP(Table3[[#This Row],[KELAS]],Q:X,5,FALSE),"")</f>
        <v/>
      </c>
      <c r="I25" s="202" t="str">
        <f>IFERROR(VLOOKUP(Table3[[#This Row],[KELAS]],Q:X,6,FALSE),"")</f>
        <v/>
      </c>
      <c r="J25" s="203"/>
      <c r="K25" s="204">
        <f>SUM(Table3[[#This Row],[PENDAFT.]:[SPP*]])</f>
        <v>0</v>
      </c>
      <c r="L25" s="281"/>
      <c r="M25" s="280">
        <f>Table3[[#This Row],[TOTAL]]-Table3[[#This Row],[DISKON*]]</f>
        <v>0</v>
      </c>
    </row>
    <row r="26" spans="1:13">
      <c r="A26" s="165">
        <v>20</v>
      </c>
      <c r="B26" s="156"/>
      <c r="C26" s="219"/>
      <c r="D26" s="154"/>
      <c r="E26" s="202" t="str">
        <f>IFERROR(VLOOKUP(Table3[[#This Row],[KELAS]],Q:X,2,FALSE),"")</f>
        <v/>
      </c>
      <c r="F26" s="202" t="str">
        <f>IFERROR(VLOOKUP(Table3[[#This Row],[KELAS]],Q:X,3,FALSE),"")</f>
        <v/>
      </c>
      <c r="G26" s="202" t="str">
        <f>IFERROR(VLOOKUP(Table3[[#This Row],[KELAS]],Q:X,4,FALSE),"")</f>
        <v/>
      </c>
      <c r="H26" s="202" t="str">
        <f>IFERROR(VLOOKUP(Table3[[#This Row],[KELAS]],Q:X,5,FALSE),"")</f>
        <v/>
      </c>
      <c r="I26" s="202" t="str">
        <f>IFERROR(VLOOKUP(Table3[[#This Row],[KELAS]],Q:X,6,FALSE),"")</f>
        <v/>
      </c>
      <c r="J26" s="203"/>
      <c r="K26" s="204">
        <f>SUM(Table3[[#This Row],[PENDAFT.]:[SPP*]])</f>
        <v>0</v>
      </c>
      <c r="L26" s="203"/>
      <c r="M26" s="205">
        <f>Table3[[#This Row],[TOTAL]]-Table3[[#This Row],[DISKON*]]</f>
        <v>0</v>
      </c>
    </row>
    <row r="27" spans="1:13">
      <c r="A27" s="165">
        <v>21</v>
      </c>
      <c r="B27" s="156"/>
      <c r="C27" s="219"/>
      <c r="D27" s="154"/>
      <c r="E27" s="202" t="str">
        <f>IFERROR(VLOOKUP(Table3[[#This Row],[KELAS]],Q:X,2,FALSE),"")</f>
        <v/>
      </c>
      <c r="F27" s="202" t="str">
        <f>IFERROR(VLOOKUP(Table3[[#This Row],[KELAS]],Q:X,3,FALSE),"")</f>
        <v/>
      </c>
      <c r="G27" s="202" t="str">
        <f>IFERROR(VLOOKUP(Table3[[#This Row],[KELAS]],Q:X,4,FALSE),"")</f>
        <v/>
      </c>
      <c r="H27" s="202" t="str">
        <f>IFERROR(VLOOKUP(Table3[[#This Row],[KELAS]],Q:X,5,FALSE),"")</f>
        <v/>
      </c>
      <c r="I27" s="202" t="str">
        <f>IFERROR(VLOOKUP(Table3[[#This Row],[KELAS]],Q:X,6,FALSE),"")</f>
        <v/>
      </c>
      <c r="J27" s="203"/>
      <c r="K27" s="204">
        <f>SUM(Table3[[#This Row],[PENDAFT.]:[SPP*]])</f>
        <v>0</v>
      </c>
      <c r="L27" s="203"/>
      <c r="M27" s="205">
        <f>Table3[[#This Row],[TOTAL]]-Table3[[#This Row],[DISKON*]]</f>
        <v>0</v>
      </c>
    </row>
    <row r="28" spans="1:13">
      <c r="A28" s="165">
        <v>22</v>
      </c>
      <c r="B28" s="156"/>
      <c r="C28" s="219"/>
      <c r="D28" s="154"/>
      <c r="E28" s="202" t="str">
        <f>IFERROR(VLOOKUP(Table3[[#This Row],[KELAS]],Q:X,2,FALSE),"")</f>
        <v/>
      </c>
      <c r="F28" s="202" t="str">
        <f>IFERROR(VLOOKUP(Table3[[#This Row],[KELAS]],Q:X,3,FALSE),"")</f>
        <v/>
      </c>
      <c r="G28" s="202" t="str">
        <f>IFERROR(VLOOKUP(Table3[[#This Row],[KELAS]],Q:X,4,FALSE),"")</f>
        <v/>
      </c>
      <c r="H28" s="202" t="str">
        <f>IFERROR(VLOOKUP(Table3[[#This Row],[KELAS]],Q:X,5,FALSE),"")</f>
        <v/>
      </c>
      <c r="I28" s="202" t="str">
        <f>IFERROR(VLOOKUP(Table3[[#This Row],[KELAS]],Q:X,6,FALSE),"")</f>
        <v/>
      </c>
      <c r="J28" s="203"/>
      <c r="K28" s="204">
        <f>SUM(Table3[[#This Row],[PENDAFT.]:[SPP*]])</f>
        <v>0</v>
      </c>
      <c r="L28" s="203"/>
      <c r="M28" s="205">
        <f>Table3[[#This Row],[TOTAL]]-Table3[[#This Row],[DISKON*]]</f>
        <v>0</v>
      </c>
    </row>
    <row r="29" spans="1:13">
      <c r="A29" s="165">
        <v>23</v>
      </c>
      <c r="B29" s="156"/>
      <c r="C29" s="219"/>
      <c r="D29" s="154"/>
      <c r="E29" s="202" t="str">
        <f>IFERROR(VLOOKUP(Table3[[#This Row],[KELAS]],Q:X,2,FALSE),"")</f>
        <v/>
      </c>
      <c r="F29" s="202" t="str">
        <f>IFERROR(VLOOKUP(Table3[[#This Row],[KELAS]],Q:X,3,FALSE),"")</f>
        <v/>
      </c>
      <c r="G29" s="202" t="str">
        <f>IFERROR(VLOOKUP(Table3[[#This Row],[KELAS]],Q:X,4,FALSE),"")</f>
        <v/>
      </c>
      <c r="H29" s="202" t="str">
        <f>IFERROR(VLOOKUP(Table3[[#This Row],[KELAS]],Q:X,5,FALSE),"")</f>
        <v/>
      </c>
      <c r="I29" s="202" t="str">
        <f>IFERROR(VLOOKUP(Table3[[#This Row],[KELAS]],Q:X,6,FALSE),"")</f>
        <v/>
      </c>
      <c r="J29" s="203"/>
      <c r="K29" s="204">
        <f>SUM(Table3[[#This Row],[PENDAFT.]:[SPP*]])</f>
        <v>0</v>
      </c>
      <c r="L29" s="203"/>
      <c r="M29" s="205">
        <f>Table3[[#This Row],[TOTAL]]-Table3[[#This Row],[DISKON*]]</f>
        <v>0</v>
      </c>
    </row>
    <row r="30" spans="1:13">
      <c r="A30" s="165">
        <v>24</v>
      </c>
      <c r="B30" s="156"/>
      <c r="C30" s="219"/>
      <c r="D30" s="154"/>
      <c r="E30" s="202" t="str">
        <f>IFERROR(VLOOKUP(Table3[[#This Row],[KELAS]],Q:X,2,FALSE),"")</f>
        <v/>
      </c>
      <c r="F30" s="202" t="str">
        <f>IFERROR(VLOOKUP(Table3[[#This Row],[KELAS]],Q:X,3,FALSE),"")</f>
        <v/>
      </c>
      <c r="G30" s="202" t="str">
        <f>IFERROR(VLOOKUP(Table3[[#This Row],[KELAS]],Q:X,4,FALSE),"")</f>
        <v/>
      </c>
      <c r="H30" s="202" t="str">
        <f>IFERROR(VLOOKUP(Table3[[#This Row],[KELAS]],Q:X,5,FALSE),"")</f>
        <v/>
      </c>
      <c r="I30" s="202" t="str">
        <f>IFERROR(VLOOKUP(Table3[[#This Row],[KELAS]],Q:X,6,FALSE),"")</f>
        <v/>
      </c>
      <c r="J30" s="203"/>
      <c r="K30" s="204">
        <f>SUM(Table3[[#This Row],[PENDAFT.]:[SPP*]])</f>
        <v>0</v>
      </c>
      <c r="L30" s="203"/>
      <c r="M30" s="205">
        <f>Table3[[#This Row],[TOTAL]]-Table3[[#This Row],[DISKON*]]</f>
        <v>0</v>
      </c>
    </row>
    <row r="31" spans="1:13">
      <c r="A31" s="165">
        <v>25</v>
      </c>
      <c r="B31" s="156"/>
      <c r="C31" s="219"/>
      <c r="D31" s="154"/>
      <c r="E31" s="202" t="str">
        <f>IFERROR(VLOOKUP(Table3[[#This Row],[KELAS]],Q:X,2,FALSE),"")</f>
        <v/>
      </c>
      <c r="F31" s="202" t="str">
        <f>IFERROR(VLOOKUP(Table3[[#This Row],[KELAS]],Q:X,3,FALSE),"")</f>
        <v/>
      </c>
      <c r="G31" s="202" t="str">
        <f>IFERROR(VLOOKUP(Table3[[#This Row],[KELAS]],Q:X,4,FALSE),"")</f>
        <v/>
      </c>
      <c r="H31" s="202" t="str">
        <f>IFERROR(VLOOKUP(Table3[[#This Row],[KELAS]],Q:X,5,FALSE),"")</f>
        <v/>
      </c>
      <c r="I31" s="202" t="str">
        <f>IFERROR(VLOOKUP(Table3[[#This Row],[KELAS]],Q:X,6,FALSE),"")</f>
        <v/>
      </c>
      <c r="J31" s="203"/>
      <c r="K31" s="204">
        <f>SUM(Table3[[#This Row],[PENDAFT.]:[SPP*]])</f>
        <v>0</v>
      </c>
      <c r="L31" s="203"/>
      <c r="M31" s="205">
        <f>Table3[[#This Row],[TOTAL]]-Table3[[#This Row],[DISKON*]]</f>
        <v>0</v>
      </c>
    </row>
    <row r="32" spans="1:13">
      <c r="A32" s="165">
        <v>26</v>
      </c>
      <c r="B32" s="156"/>
      <c r="C32" s="219"/>
      <c r="D32" s="154"/>
      <c r="E32" s="202" t="str">
        <f>IFERROR(VLOOKUP(Table3[[#This Row],[KELAS]],Q:X,2,FALSE),"")</f>
        <v/>
      </c>
      <c r="F32" s="202" t="str">
        <f>IFERROR(VLOOKUP(Table3[[#This Row],[KELAS]],Q:X,3,FALSE),"")</f>
        <v/>
      </c>
      <c r="G32" s="202" t="str">
        <f>IFERROR(VLOOKUP(Table3[[#This Row],[KELAS]],Q:X,4,FALSE),"")</f>
        <v/>
      </c>
      <c r="H32" s="202" t="str">
        <f>IFERROR(VLOOKUP(Table3[[#This Row],[KELAS]],Q:X,5,FALSE),"")</f>
        <v/>
      </c>
      <c r="I32" s="202" t="str">
        <f>IFERROR(VLOOKUP(Table3[[#This Row],[KELAS]],Q:X,6,FALSE),"")</f>
        <v/>
      </c>
      <c r="J32" s="203"/>
      <c r="K32" s="204">
        <f>SUM(Table3[[#This Row],[PENDAFT.]:[SPP*]])</f>
        <v>0</v>
      </c>
      <c r="L32" s="281"/>
      <c r="M32" s="280">
        <f>Table3[[#This Row],[TOTAL]]-Table3[[#This Row],[DISKON*]]</f>
        <v>0</v>
      </c>
    </row>
    <row r="33" spans="1:13">
      <c r="A33" s="165">
        <v>27</v>
      </c>
      <c r="B33" s="156"/>
      <c r="C33" s="219"/>
      <c r="D33" s="154"/>
      <c r="E33" s="202" t="str">
        <f>IFERROR(VLOOKUP(Table3[[#This Row],[KELAS]],Q:X,2,FALSE),"")</f>
        <v/>
      </c>
      <c r="F33" s="202" t="str">
        <f>IFERROR(VLOOKUP(Table3[[#This Row],[KELAS]],Q:X,3,FALSE),"")</f>
        <v/>
      </c>
      <c r="G33" s="202" t="str">
        <f>IFERROR(VLOOKUP(Table3[[#This Row],[KELAS]],Q:X,4,FALSE),"")</f>
        <v/>
      </c>
      <c r="H33" s="202" t="str">
        <f>IFERROR(VLOOKUP(Table3[[#This Row],[KELAS]],Q:X,5,FALSE),"")</f>
        <v/>
      </c>
      <c r="I33" s="202" t="str">
        <f>IFERROR(VLOOKUP(Table3[[#This Row],[KELAS]],Q:X,6,FALSE),"")</f>
        <v/>
      </c>
      <c r="J33" s="203"/>
      <c r="K33" s="204">
        <f>SUM(Table3[[#This Row],[PENDAFT.]:[SPP*]])</f>
        <v>0</v>
      </c>
      <c r="L33" s="203"/>
      <c r="M33" s="205">
        <f>Table3[[#This Row],[TOTAL]]-Table3[[#This Row],[DISKON*]]</f>
        <v>0</v>
      </c>
    </row>
    <row r="34" spans="1:13">
      <c r="A34" s="165">
        <v>28</v>
      </c>
      <c r="B34" s="156"/>
      <c r="C34" s="219"/>
      <c r="D34" s="154"/>
      <c r="E34" s="202" t="str">
        <f>IFERROR(VLOOKUP(Table3[[#This Row],[KELAS]],Q:X,2,FALSE),"")</f>
        <v/>
      </c>
      <c r="F34" s="202" t="str">
        <f>IFERROR(VLOOKUP(Table3[[#This Row],[KELAS]],Q:X,3,FALSE),"")</f>
        <v/>
      </c>
      <c r="G34" s="202" t="str">
        <f>IFERROR(VLOOKUP(Table3[[#This Row],[KELAS]],Q:X,4,FALSE),"")</f>
        <v/>
      </c>
      <c r="H34" s="202" t="str">
        <f>IFERROR(VLOOKUP(Table3[[#This Row],[KELAS]],Q:X,5,FALSE),"")</f>
        <v/>
      </c>
      <c r="I34" s="202" t="str">
        <f>IFERROR(VLOOKUP(Table3[[#This Row],[KELAS]],Q:X,6,FALSE),"")</f>
        <v/>
      </c>
      <c r="J34" s="203"/>
      <c r="K34" s="204">
        <f>SUM(Table3[[#This Row],[PENDAFT.]:[SPP*]])</f>
        <v>0</v>
      </c>
      <c r="L34" s="281"/>
      <c r="M34" s="280">
        <f>Table3[[#This Row],[TOTAL]]-Table3[[#This Row],[DISKON*]]</f>
        <v>0</v>
      </c>
    </row>
    <row r="35" spans="1:13">
      <c r="A35" s="165">
        <v>29</v>
      </c>
      <c r="B35" s="156"/>
      <c r="C35" s="219"/>
      <c r="D35" s="154"/>
      <c r="E35" s="202" t="str">
        <f>IFERROR(VLOOKUP(Table3[[#This Row],[KELAS]],Q:X,2,FALSE),"")</f>
        <v/>
      </c>
      <c r="F35" s="202" t="str">
        <f>IFERROR(VLOOKUP(Table3[[#This Row],[KELAS]],Q:X,3,FALSE),"")</f>
        <v/>
      </c>
      <c r="G35" s="202" t="str">
        <f>IFERROR(VLOOKUP(Table3[[#This Row],[KELAS]],Q:X,4,FALSE),"")</f>
        <v/>
      </c>
      <c r="H35" s="202" t="str">
        <f>IFERROR(VLOOKUP(Table3[[#This Row],[KELAS]],Q:X,5,FALSE),"")</f>
        <v/>
      </c>
      <c r="I35" s="202" t="str">
        <f>IFERROR(VLOOKUP(Table3[[#This Row],[KELAS]],Q:X,6,FALSE),"")</f>
        <v/>
      </c>
      <c r="J35" s="203"/>
      <c r="K35" s="204">
        <f>SUM(Table3[[#This Row],[PENDAFT.]:[SPP*]])</f>
        <v>0</v>
      </c>
      <c r="L35" s="203"/>
      <c r="M35" s="205">
        <f>Table3[[#This Row],[TOTAL]]-Table3[[#This Row],[DISKON*]]</f>
        <v>0</v>
      </c>
    </row>
    <row r="36" spans="1:13">
      <c r="A36" s="165">
        <v>30</v>
      </c>
      <c r="B36" s="156"/>
      <c r="C36" s="219"/>
      <c r="D36" s="154"/>
      <c r="E36" s="202" t="str">
        <f>IFERROR(VLOOKUP(Table3[[#This Row],[KELAS]],Q:X,2,FALSE),"")</f>
        <v/>
      </c>
      <c r="F36" s="202" t="str">
        <f>IFERROR(VLOOKUP(Table3[[#This Row],[KELAS]],Q:X,3,FALSE),"")</f>
        <v/>
      </c>
      <c r="G36" s="202" t="str">
        <f>IFERROR(VLOOKUP(Table3[[#This Row],[KELAS]],Q:X,4,FALSE),"")</f>
        <v/>
      </c>
      <c r="H36" s="202" t="str">
        <f>IFERROR(VLOOKUP(Table3[[#This Row],[KELAS]],Q:X,5,FALSE),"")</f>
        <v/>
      </c>
      <c r="I36" s="202" t="str">
        <f>IFERROR(VLOOKUP(Table3[[#This Row],[KELAS]],Q:X,6,FALSE),"")</f>
        <v/>
      </c>
      <c r="J36" s="203"/>
      <c r="K36" s="204">
        <f>SUM(Table3[[#This Row],[PENDAFT.]:[SPP*]])</f>
        <v>0</v>
      </c>
      <c r="L36" s="281"/>
      <c r="M36" s="280">
        <f>Table3[[#This Row],[TOTAL]]-Table3[[#This Row],[DISKON*]]</f>
        <v>0</v>
      </c>
    </row>
    <row r="37" spans="1:13">
      <c r="A37" s="165">
        <v>31</v>
      </c>
      <c r="B37" s="156"/>
      <c r="C37" s="219"/>
      <c r="D37" s="154"/>
      <c r="E37" s="202" t="str">
        <f>IFERROR(VLOOKUP(Table3[[#This Row],[KELAS]],Q:X,2,FALSE),"")</f>
        <v/>
      </c>
      <c r="F37" s="202" t="str">
        <f>IFERROR(VLOOKUP(Table3[[#This Row],[KELAS]],Q:X,3,FALSE),"")</f>
        <v/>
      </c>
      <c r="G37" s="202" t="str">
        <f>IFERROR(VLOOKUP(Table3[[#This Row],[KELAS]],Q:X,4,FALSE),"")</f>
        <v/>
      </c>
      <c r="H37" s="202" t="str">
        <f>IFERROR(VLOOKUP(Table3[[#This Row],[KELAS]],Q:X,5,FALSE),"")</f>
        <v/>
      </c>
      <c r="I37" s="202" t="str">
        <f>IFERROR(VLOOKUP(Table3[[#This Row],[KELAS]],Q:X,6,FALSE),"")</f>
        <v/>
      </c>
      <c r="J37" s="203"/>
      <c r="K37" s="204">
        <f>SUM(Table3[[#This Row],[PENDAFT.]:[SPP*]])</f>
        <v>0</v>
      </c>
      <c r="L37" s="203"/>
      <c r="M37" s="205">
        <f>Table3[[#This Row],[TOTAL]]-Table3[[#This Row],[DISKON*]]</f>
        <v>0</v>
      </c>
    </row>
    <row r="38" spans="1:13">
      <c r="A38" s="165">
        <v>32</v>
      </c>
      <c r="B38" s="156"/>
      <c r="C38" s="219"/>
      <c r="D38" s="154"/>
      <c r="E38" s="202" t="str">
        <f>IFERROR(VLOOKUP(Table3[[#This Row],[KELAS]],Q:X,2,FALSE),"")</f>
        <v/>
      </c>
      <c r="F38" s="202" t="str">
        <f>IFERROR(VLOOKUP(Table3[[#This Row],[KELAS]],Q:X,3,FALSE),"")</f>
        <v/>
      </c>
      <c r="G38" s="202" t="str">
        <f>IFERROR(VLOOKUP(Table3[[#This Row],[KELAS]],Q:X,4,FALSE),"")</f>
        <v/>
      </c>
      <c r="H38" s="202" t="str">
        <f>IFERROR(VLOOKUP(Table3[[#This Row],[KELAS]],Q:X,5,FALSE),"")</f>
        <v/>
      </c>
      <c r="I38" s="202" t="str">
        <f>IFERROR(VLOOKUP(Table3[[#This Row],[KELAS]],Q:X,6,FALSE),"")</f>
        <v/>
      </c>
      <c r="J38" s="203"/>
      <c r="K38" s="204">
        <f>SUM(Table3[[#This Row],[PENDAFT.]:[SPP*]])</f>
        <v>0</v>
      </c>
      <c r="L38" s="203"/>
      <c r="M38" s="205">
        <f>Table3[[#This Row],[TOTAL]]-Table3[[#This Row],[DISKON*]]</f>
        <v>0</v>
      </c>
    </row>
    <row r="39" spans="1:13">
      <c r="A39" s="165">
        <v>33</v>
      </c>
      <c r="B39" s="156"/>
      <c r="C39" s="219"/>
      <c r="D39" s="154"/>
      <c r="E39" s="202" t="str">
        <f>IFERROR(VLOOKUP(Table3[[#This Row],[KELAS]],Q:X,2,FALSE),"")</f>
        <v/>
      </c>
      <c r="F39" s="202" t="str">
        <f>IFERROR(VLOOKUP(Table3[[#This Row],[KELAS]],Q:X,3,FALSE),"")</f>
        <v/>
      </c>
      <c r="G39" s="202" t="str">
        <f>IFERROR(VLOOKUP(Table3[[#This Row],[KELAS]],Q:X,4,FALSE),"")</f>
        <v/>
      </c>
      <c r="H39" s="202" t="str">
        <f>IFERROR(VLOOKUP(Table3[[#This Row],[KELAS]],Q:X,5,FALSE),"")</f>
        <v/>
      </c>
      <c r="I39" s="202" t="str">
        <f>IFERROR(VLOOKUP(Table3[[#This Row],[KELAS]],Q:X,6,FALSE),"")</f>
        <v/>
      </c>
      <c r="J39" s="203"/>
      <c r="K39" s="204">
        <f>SUM(Table3[[#This Row],[PENDAFT.]:[SPP*]])</f>
        <v>0</v>
      </c>
      <c r="L39" s="203"/>
      <c r="M39" s="205">
        <f>Table3[[#This Row],[TOTAL]]-Table3[[#This Row],[DISKON*]]</f>
        <v>0</v>
      </c>
    </row>
    <row r="40" spans="1:13">
      <c r="A40" s="165">
        <v>34</v>
      </c>
      <c r="B40" s="156"/>
      <c r="C40" s="219"/>
      <c r="D40" s="154"/>
      <c r="E40" s="202" t="str">
        <f>IFERROR(VLOOKUP(Table3[[#This Row],[KELAS]],Q:X,2,FALSE),"")</f>
        <v/>
      </c>
      <c r="F40" s="202" t="str">
        <f>IFERROR(VLOOKUP(Table3[[#This Row],[KELAS]],Q:X,3,FALSE),"")</f>
        <v/>
      </c>
      <c r="G40" s="202" t="str">
        <f>IFERROR(VLOOKUP(Table3[[#This Row],[KELAS]],Q:X,4,FALSE),"")</f>
        <v/>
      </c>
      <c r="H40" s="202" t="str">
        <f>IFERROR(VLOOKUP(Table3[[#This Row],[KELAS]],Q:X,5,FALSE),"")</f>
        <v/>
      </c>
      <c r="I40" s="202" t="str">
        <f>IFERROR(VLOOKUP(Table3[[#This Row],[KELAS]],Q:X,6,FALSE),"")</f>
        <v/>
      </c>
      <c r="J40" s="203"/>
      <c r="K40" s="204">
        <f>SUM(Table3[[#This Row],[PENDAFT.]:[SPP*]])</f>
        <v>0</v>
      </c>
      <c r="L40" s="203"/>
      <c r="M40" s="205">
        <f>Table3[[#This Row],[TOTAL]]-Table3[[#This Row],[DISKON*]]</f>
        <v>0</v>
      </c>
    </row>
    <row r="41" spans="1:13">
      <c r="A41" s="165">
        <v>35</v>
      </c>
      <c r="B41" s="156"/>
      <c r="C41" s="219"/>
      <c r="D41" s="154"/>
      <c r="E41" s="202" t="str">
        <f>IFERROR(VLOOKUP(Table3[[#This Row],[KELAS]],Q:X,2,FALSE),"")</f>
        <v/>
      </c>
      <c r="F41" s="202" t="str">
        <f>IFERROR(VLOOKUP(Table3[[#This Row],[KELAS]],Q:X,3,FALSE),"")</f>
        <v/>
      </c>
      <c r="G41" s="202" t="str">
        <f>IFERROR(VLOOKUP(Table3[[#This Row],[KELAS]],Q:X,4,FALSE),"")</f>
        <v/>
      </c>
      <c r="H41" s="202" t="str">
        <f>IFERROR(VLOOKUP(Table3[[#This Row],[KELAS]],Q:X,5,FALSE),"")</f>
        <v/>
      </c>
      <c r="I41" s="202" t="str">
        <f>IFERROR(VLOOKUP(Table3[[#This Row],[KELAS]],Q:X,6,FALSE),"")</f>
        <v/>
      </c>
      <c r="J41" s="203"/>
      <c r="K41" s="204">
        <f>SUM(Table3[[#This Row],[PENDAFT.]:[SPP*]])</f>
        <v>0</v>
      </c>
      <c r="L41" s="203"/>
      <c r="M41" s="205">
        <f>Table3[[#This Row],[TOTAL]]-Table3[[#This Row],[DISKON*]]</f>
        <v>0</v>
      </c>
    </row>
    <row r="42" spans="1:13">
      <c r="A42" s="165">
        <v>36</v>
      </c>
      <c r="B42" s="156"/>
      <c r="C42" s="219"/>
      <c r="D42" s="154"/>
      <c r="E42" s="202" t="str">
        <f>IFERROR(VLOOKUP(Table3[[#This Row],[KELAS]],Q:X,2,FALSE),"")</f>
        <v/>
      </c>
      <c r="F42" s="202" t="str">
        <f>IFERROR(VLOOKUP(Table3[[#This Row],[KELAS]],Q:X,3,FALSE),"")</f>
        <v/>
      </c>
      <c r="G42" s="202" t="str">
        <f>IFERROR(VLOOKUP(Table3[[#This Row],[KELAS]],Q:X,4,FALSE),"")</f>
        <v/>
      </c>
      <c r="H42" s="202" t="str">
        <f>IFERROR(VLOOKUP(Table3[[#This Row],[KELAS]],Q:X,5,FALSE),"")</f>
        <v/>
      </c>
      <c r="I42" s="202" t="str">
        <f>IFERROR(VLOOKUP(Table3[[#This Row],[KELAS]],Q:X,6,FALSE),"")</f>
        <v/>
      </c>
      <c r="J42" s="203"/>
      <c r="K42" s="204">
        <f>SUM(Table3[[#This Row],[PENDAFT.]:[SPP*]])</f>
        <v>0</v>
      </c>
      <c r="L42" s="281"/>
      <c r="M42" s="280">
        <f>Table3[[#This Row],[TOTAL]]-Table3[[#This Row],[DISKON*]]</f>
        <v>0</v>
      </c>
    </row>
    <row r="43" spans="1:13">
      <c r="A43" s="165">
        <v>37</v>
      </c>
      <c r="B43" s="156"/>
      <c r="C43" s="219"/>
      <c r="D43" s="154"/>
      <c r="E43" s="202" t="str">
        <f>IFERROR(VLOOKUP(Table3[[#This Row],[KELAS]],Q:X,2,FALSE),"")</f>
        <v/>
      </c>
      <c r="F43" s="202" t="str">
        <f>IFERROR(VLOOKUP(Table3[[#This Row],[KELAS]],Q:X,3,FALSE),"")</f>
        <v/>
      </c>
      <c r="G43" s="202" t="str">
        <f>IFERROR(VLOOKUP(Table3[[#This Row],[KELAS]],Q:X,4,FALSE),"")</f>
        <v/>
      </c>
      <c r="H43" s="202" t="str">
        <f>IFERROR(VLOOKUP(Table3[[#This Row],[KELAS]],Q:X,5,FALSE),"")</f>
        <v/>
      </c>
      <c r="I43" s="202" t="str">
        <f>IFERROR(VLOOKUP(Table3[[#This Row],[KELAS]],Q:X,6,FALSE),"")</f>
        <v/>
      </c>
      <c r="J43" s="203"/>
      <c r="K43" s="204">
        <f>SUM(Table3[[#This Row],[PENDAFT.]:[SPP*]])</f>
        <v>0</v>
      </c>
      <c r="L43" s="203"/>
      <c r="M43" s="205">
        <f>Table3[[#This Row],[TOTAL]]-Table3[[#This Row],[DISKON*]]</f>
        <v>0</v>
      </c>
    </row>
    <row r="44" spans="1:13">
      <c r="A44" s="165">
        <v>38</v>
      </c>
      <c r="B44" s="156"/>
      <c r="C44" s="219"/>
      <c r="D44" s="154"/>
      <c r="E44" s="202" t="str">
        <f>IFERROR(VLOOKUP(Table3[[#This Row],[KELAS]],Q:X,2,FALSE),"")</f>
        <v/>
      </c>
      <c r="F44" s="202" t="str">
        <f>IFERROR(VLOOKUP(Table3[[#This Row],[KELAS]],Q:X,3,FALSE),"")</f>
        <v/>
      </c>
      <c r="G44" s="202" t="str">
        <f>IFERROR(VLOOKUP(Table3[[#This Row],[KELAS]],Q:X,4,FALSE),"")</f>
        <v/>
      </c>
      <c r="H44" s="202" t="str">
        <f>IFERROR(VLOOKUP(Table3[[#This Row],[KELAS]],Q:X,5,FALSE),"")</f>
        <v/>
      </c>
      <c r="I44" s="202" t="str">
        <f>IFERROR(VLOOKUP(Table3[[#This Row],[KELAS]],Q:X,6,FALSE),"")</f>
        <v/>
      </c>
      <c r="J44" s="203"/>
      <c r="K44" s="204">
        <f>SUM(Table3[[#This Row],[PENDAFT.]:[SPP*]])</f>
        <v>0</v>
      </c>
      <c r="L44" s="203"/>
      <c r="M44" s="205">
        <f>Table3[[#This Row],[TOTAL]]-Table3[[#This Row],[DISKON*]]</f>
        <v>0</v>
      </c>
    </row>
    <row r="45" spans="1:13">
      <c r="A45" s="235">
        <v>39</v>
      </c>
      <c r="B45" s="236"/>
      <c r="C45" s="283"/>
      <c r="D45" s="284"/>
      <c r="E45" s="285" t="str">
        <f>IFERROR(VLOOKUP(Table3[[#This Row],[KELAS]],Q:X,2,FALSE),"")</f>
        <v/>
      </c>
      <c r="F45" s="285" t="str">
        <f>IFERROR(VLOOKUP(Table3[[#This Row],[KELAS]],Q:X,3,FALSE),"")</f>
        <v/>
      </c>
      <c r="G45" s="285" t="str">
        <f>IFERROR(VLOOKUP(Table3[[#This Row],[KELAS]],Q:X,4,FALSE),"")</f>
        <v/>
      </c>
      <c r="H45" s="285" t="str">
        <f>IFERROR(VLOOKUP(Table3[[#This Row],[KELAS]],Q:X,5,FALSE),"")</f>
        <v/>
      </c>
      <c r="I45" s="285" t="str">
        <f>IFERROR(VLOOKUP(Table3[[#This Row],[KELAS]],Q:X,6,FALSE),"")</f>
        <v/>
      </c>
      <c r="J45" s="286"/>
      <c r="K45" s="286">
        <f>SUM(Table3[[#This Row],[PENDAFT.]:[SPP*]])</f>
        <v>0</v>
      </c>
      <c r="L45" s="286"/>
      <c r="M45" s="287">
        <f>Table3[[#This Row],[TOTAL]]-Table3[[#This Row],[DISKON*]]</f>
        <v>0</v>
      </c>
    </row>
    <row r="46" spans="1:13">
      <c r="A46" s="165">
        <v>40</v>
      </c>
      <c r="B46" s="156"/>
      <c r="C46" s="219"/>
      <c r="D46" s="154"/>
      <c r="E46" s="202" t="str">
        <f>IFERROR(VLOOKUP(Table3[[#This Row],[KELAS]],Q:X,2,FALSE),"")</f>
        <v/>
      </c>
      <c r="F46" s="202" t="str">
        <f>IFERROR(VLOOKUP(Table3[[#This Row],[KELAS]],Q:X,3,FALSE),"")</f>
        <v/>
      </c>
      <c r="G46" s="202" t="str">
        <f>IFERROR(VLOOKUP(Table3[[#This Row],[KELAS]],Q:X,4,FALSE),"")</f>
        <v/>
      </c>
      <c r="H46" s="202" t="str">
        <f>IFERROR(VLOOKUP(Table3[[#This Row],[KELAS]],Q:X,5,FALSE),"")</f>
        <v/>
      </c>
      <c r="I46" s="202" t="str">
        <f>IFERROR(VLOOKUP(Table3[[#This Row],[KELAS]],Q:X,6,FALSE),"")</f>
        <v/>
      </c>
      <c r="J46" s="203"/>
      <c r="K46" s="204">
        <f>SUM(Table3[[#This Row],[PENDAFT.]:[SPP*]])</f>
        <v>0</v>
      </c>
      <c r="L46" s="203"/>
      <c r="M46" s="205">
        <f>Table3[[#This Row],[TOTAL]]-Table3[[#This Row],[DISKON*]]</f>
        <v>0</v>
      </c>
    </row>
    <row r="47" spans="1:13">
      <c r="A47" s="165">
        <v>41</v>
      </c>
      <c r="B47" s="156"/>
      <c r="C47" s="219"/>
      <c r="D47" s="154"/>
      <c r="E47" s="202" t="str">
        <f>IFERROR(VLOOKUP(Table3[[#This Row],[KELAS]],Q:X,2,FALSE),"")</f>
        <v/>
      </c>
      <c r="F47" s="202" t="str">
        <f>IFERROR(VLOOKUP(Table3[[#This Row],[KELAS]],Q:X,3,FALSE),"")</f>
        <v/>
      </c>
      <c r="G47" s="202" t="str">
        <f>IFERROR(VLOOKUP(Table3[[#This Row],[KELAS]],Q:X,4,FALSE),"")</f>
        <v/>
      </c>
      <c r="H47" s="202" t="str">
        <f>IFERROR(VLOOKUP(Table3[[#This Row],[KELAS]],Q:X,5,FALSE),"")</f>
        <v/>
      </c>
      <c r="I47" s="202" t="str">
        <f>IFERROR(VLOOKUP(Table3[[#This Row],[KELAS]],Q:X,6,FALSE),"")</f>
        <v/>
      </c>
      <c r="J47" s="203"/>
      <c r="K47" s="204">
        <f>SUM(Table3[[#This Row],[PENDAFT.]:[SPP*]])</f>
        <v>0</v>
      </c>
      <c r="L47" s="203"/>
      <c r="M47" s="205">
        <f>Table3[[#This Row],[TOTAL]]-Table3[[#This Row],[DISKON*]]</f>
        <v>0</v>
      </c>
    </row>
    <row r="48" spans="1:13">
      <c r="A48" s="282">
        <v>42</v>
      </c>
      <c r="B48" s="236"/>
      <c r="C48" s="283"/>
      <c r="D48" s="284"/>
      <c r="E48" s="285" t="str">
        <f>IFERROR(VLOOKUP(Table3[[#This Row],[KELAS]],Q:X,2,FALSE),"")</f>
        <v/>
      </c>
      <c r="F48" s="285" t="str">
        <f>IFERROR(VLOOKUP(Table3[[#This Row],[KELAS]],Q:X,3,FALSE),"")</f>
        <v/>
      </c>
      <c r="G48" s="285" t="str">
        <f>IFERROR(VLOOKUP(Table3[[#This Row],[KELAS]],Q:X,4,FALSE),"")</f>
        <v/>
      </c>
      <c r="H48" s="285" t="str">
        <f>IFERROR(VLOOKUP(Table3[[#This Row],[KELAS]],Q:X,5,FALSE),"")</f>
        <v/>
      </c>
      <c r="I48" s="285" t="str">
        <f>IFERROR(VLOOKUP(Table3[[#This Row],[KELAS]],Q:X,6,FALSE),"")</f>
        <v/>
      </c>
      <c r="J48" s="286"/>
      <c r="K48" s="286">
        <f>SUM(Table3[[#This Row],[PENDAFT.]:[SPP*]])</f>
        <v>0</v>
      </c>
      <c r="L48" s="286"/>
      <c r="M48" s="287">
        <f>Table3[[#This Row],[TOTAL]]-Table3[[#This Row],[DISKON*]]</f>
        <v>0</v>
      </c>
    </row>
    <row r="49" spans="1:14" s="296" customFormat="1">
      <c r="A49" s="289">
        <v>43</v>
      </c>
      <c r="B49" s="290"/>
      <c r="C49" s="291"/>
      <c r="D49" s="292"/>
      <c r="E49" s="293" t="str">
        <f>IFERROR(VLOOKUP(Table3[[#This Row],[KELAS]],Q:X,2,FALSE),"")</f>
        <v/>
      </c>
      <c r="F49" s="293" t="str">
        <f>IFERROR(VLOOKUP(Table3[[#This Row],[KELAS]],Q:X,3,FALSE),"")</f>
        <v/>
      </c>
      <c r="G49" s="293" t="str">
        <f>IFERROR(VLOOKUP(Table3[[#This Row],[KELAS]],Q:X,4,FALSE),"")</f>
        <v/>
      </c>
      <c r="H49" s="293" t="str">
        <f>IFERROR(VLOOKUP(Table3[[#This Row],[KELAS]],Q:X,5,FALSE),"")</f>
        <v/>
      </c>
      <c r="I49" s="293" t="str">
        <f>IFERROR(VLOOKUP(Table3[[#This Row],[KELAS]],Q:X,6,FALSE),"")</f>
        <v/>
      </c>
      <c r="J49" s="294"/>
      <c r="K49" s="294">
        <f>SUM(Table3[[#This Row],[PENDAFT.]:[SPP*]])</f>
        <v>0</v>
      </c>
      <c r="L49" s="294"/>
      <c r="M49" s="295">
        <f>Table3[[#This Row],[TOTAL]]-Table3[[#This Row],[DISKON*]]</f>
        <v>0</v>
      </c>
    </row>
    <row r="50" spans="1:14">
      <c r="A50" s="282">
        <v>44</v>
      </c>
      <c r="B50" s="236"/>
      <c r="C50" s="283"/>
      <c r="D50" s="284"/>
      <c r="E50" s="285" t="str">
        <f>IFERROR(VLOOKUP(Table3[[#This Row],[KELAS]],Q:X,2,FALSE),"")</f>
        <v/>
      </c>
      <c r="F50" s="285" t="str">
        <f>IFERROR(VLOOKUP(Table3[[#This Row],[KELAS]],Q:X,3,FALSE),"")</f>
        <v/>
      </c>
      <c r="G50" s="285" t="str">
        <f>IFERROR(VLOOKUP(Table3[[#This Row],[KELAS]],Q:X,4,FALSE),"")</f>
        <v/>
      </c>
      <c r="H50" s="285" t="str">
        <f>IFERROR(VLOOKUP(Table3[[#This Row],[KELAS]],Q:X,5,FALSE),"")</f>
        <v/>
      </c>
      <c r="I50" s="285" t="str">
        <f>IFERROR(VLOOKUP(Table3[[#This Row],[KELAS]],Q:X,6,FALSE),"")</f>
        <v/>
      </c>
      <c r="J50" s="286"/>
      <c r="K50" s="286">
        <f>SUM(Table3[[#This Row],[PENDAFT.]:[SPP*]])</f>
        <v>0</v>
      </c>
      <c r="L50" s="286"/>
      <c r="M50" s="287">
        <f>Table3[[#This Row],[TOTAL]]-Table3[[#This Row],[DISKON*]]</f>
        <v>0</v>
      </c>
    </row>
    <row r="51" spans="1:14">
      <c r="A51" s="166">
        <v>45</v>
      </c>
      <c r="B51" s="156"/>
      <c r="C51" s="219"/>
      <c r="D51" s="154"/>
      <c r="E51" s="202" t="str">
        <f>IFERROR(VLOOKUP(Table3[[#This Row],[KELAS]],Q:X,2,FALSE),"")</f>
        <v/>
      </c>
      <c r="F51" s="202" t="str">
        <f>IFERROR(VLOOKUP(Table3[[#This Row],[KELAS]],Q:X,3,FALSE),"")</f>
        <v/>
      </c>
      <c r="G51" s="202" t="str">
        <f>IFERROR(VLOOKUP(Table3[[#This Row],[KELAS]],Q:X,4,FALSE),"")</f>
        <v/>
      </c>
      <c r="H51" s="202" t="str">
        <f>IFERROR(VLOOKUP(Table3[[#This Row],[KELAS]],Q:X,5,FALSE),"")</f>
        <v/>
      </c>
      <c r="I51" s="202" t="str">
        <f>IFERROR(VLOOKUP(Table3[[#This Row],[KELAS]],Q:X,6,FALSE),"")</f>
        <v/>
      </c>
      <c r="J51" s="203"/>
      <c r="K51" s="204">
        <f>SUM(Table3[[#This Row],[PENDAFT.]:[SPP*]])</f>
        <v>0</v>
      </c>
      <c r="L51" s="203"/>
      <c r="M51" s="205">
        <f>Table3[[#This Row],[TOTAL]]-Table3[[#This Row],[DISKON*]]</f>
        <v>0</v>
      </c>
    </row>
    <row r="52" spans="1:14">
      <c r="A52" s="282">
        <v>46</v>
      </c>
      <c r="B52" s="236"/>
      <c r="C52" s="283"/>
      <c r="D52" s="284"/>
      <c r="E52" s="288" t="str">
        <f>IFERROR(VLOOKUP(Table3[[#This Row],[KELAS]],Q:X,2,FALSE),"")</f>
        <v/>
      </c>
      <c r="F52" s="288" t="str">
        <f>IFERROR(VLOOKUP(Table3[[#This Row],[KELAS]],Q:X,3,FALSE),"")</f>
        <v/>
      </c>
      <c r="G52" s="285" t="str">
        <f>IFERROR(VLOOKUP(Table3[[#This Row],[KELAS]],Q:X,4,FALSE),"")</f>
        <v/>
      </c>
      <c r="H52" s="288" t="str">
        <f>IFERROR(VLOOKUP(Table3[[#This Row],[KELAS]],Q:X,5,FALSE),"")</f>
        <v/>
      </c>
      <c r="I52" s="285" t="str">
        <f>IFERROR(VLOOKUP(Table3[[#This Row],[KELAS]],Q:X,6,FALSE),"")</f>
        <v/>
      </c>
      <c r="J52" s="286"/>
      <c r="K52" s="286">
        <f>SUM(Table3[[#This Row],[PENDAFT.]:[SPP*]])</f>
        <v>0</v>
      </c>
      <c r="L52" s="286"/>
      <c r="M52" s="287">
        <f>Table3[[#This Row],[TOTAL]]-Table3[[#This Row],[DISKON*]]</f>
        <v>0</v>
      </c>
    </row>
    <row r="53" spans="1:14" ht="14.25">
      <c r="A53" s="166">
        <v>47</v>
      </c>
      <c r="B53" s="248"/>
      <c r="C53" s="219"/>
      <c r="D53" s="154"/>
      <c r="E53" s="202" t="str">
        <f>IFERROR(VLOOKUP(Table3[[#This Row],[KELAS]],Q:X,2,FALSE),"")</f>
        <v/>
      </c>
      <c r="F53" s="202" t="str">
        <f>IFERROR(VLOOKUP(Table3[[#This Row],[KELAS]],Q:X,3,FALSE),"")</f>
        <v/>
      </c>
      <c r="G53" s="202" t="str">
        <f>IFERROR(VLOOKUP(Table3[[#This Row],[KELAS]],Q:X,4,FALSE),"")</f>
        <v/>
      </c>
      <c r="H53" s="202" t="str">
        <f>IFERROR(VLOOKUP(Table3[[#This Row],[KELAS]],Q:X,5,FALSE),"")</f>
        <v/>
      </c>
      <c r="I53" s="202" t="str">
        <f>IFERROR(VLOOKUP(Table3[[#This Row],[KELAS]],Q:X,6,FALSE),"")</f>
        <v/>
      </c>
      <c r="J53" s="203"/>
      <c r="K53" s="204">
        <f>SUM(Table3[[#This Row],[PENDAFT.]:[SPP*]])</f>
        <v>0</v>
      </c>
      <c r="L53" s="203"/>
      <c r="M53" s="205">
        <f>Table3[[#This Row],[TOTAL]]-Table3[[#This Row],[DISKON*]]</f>
        <v>0</v>
      </c>
    </row>
    <row r="54" spans="1:14" ht="14.25">
      <c r="A54" s="166">
        <v>48</v>
      </c>
      <c r="B54" s="157"/>
      <c r="C54" s="219"/>
      <c r="D54" s="154"/>
      <c r="E54" s="202" t="str">
        <f>IFERROR(VLOOKUP(Table3[[#This Row],[KELAS]],Q:X,2,FALSE),"")</f>
        <v/>
      </c>
      <c r="F54" s="202" t="str">
        <f>IFERROR(VLOOKUP(Table3[[#This Row],[KELAS]],Q:X,3,FALSE),"")</f>
        <v/>
      </c>
      <c r="G54" s="202" t="str">
        <f>IFERROR(VLOOKUP(Table3[[#This Row],[KELAS]],Q:X,4,FALSE),"")</f>
        <v/>
      </c>
      <c r="H54" s="202" t="str">
        <f>IFERROR(VLOOKUP(Table3[[#This Row],[KELAS]],Q:X,5,FALSE),"")</f>
        <v/>
      </c>
      <c r="I54" s="202" t="str">
        <f>IFERROR(VLOOKUP(Table3[[#This Row],[KELAS]],Q:X,6,FALSE),"")</f>
        <v/>
      </c>
      <c r="J54" s="203"/>
      <c r="K54" s="204">
        <f>SUM(Table3[[#This Row],[PENDAFT.]:[SPP*]])</f>
        <v>0</v>
      </c>
      <c r="L54" s="281"/>
      <c r="M54" s="280">
        <f>Table3[[#This Row],[TOTAL]]-Table3[[#This Row],[DISKON*]]</f>
        <v>0</v>
      </c>
    </row>
    <row r="55" spans="1:14" ht="14.25">
      <c r="A55" s="166">
        <v>49</v>
      </c>
      <c r="B55" s="157"/>
      <c r="C55" s="219"/>
      <c r="D55" s="154"/>
      <c r="E55" s="202" t="str">
        <f>IFERROR(VLOOKUP(Table3[[#This Row],[KELAS]],Q:X,2,FALSE),"")</f>
        <v/>
      </c>
      <c r="F55" s="202" t="str">
        <f>IFERROR(VLOOKUP(Table3[[#This Row],[KELAS]],Q:X,3,FALSE),"")</f>
        <v/>
      </c>
      <c r="G55" s="202" t="str">
        <f>IFERROR(VLOOKUP(Table3[[#This Row],[KELAS]],Q:X,4,FALSE),"")</f>
        <v/>
      </c>
      <c r="H55" s="202" t="str">
        <f>IFERROR(VLOOKUP(Table3[[#This Row],[KELAS]],Q:X,5,FALSE),"")</f>
        <v/>
      </c>
      <c r="I55" s="202" t="str">
        <f>IFERROR(VLOOKUP(Table3[[#This Row],[KELAS]],Q:X,6,FALSE),"")</f>
        <v/>
      </c>
      <c r="J55" s="203"/>
      <c r="K55" s="204">
        <f>SUM(Table3[[#This Row],[PENDAFT.]:[SPP*]])</f>
        <v>0</v>
      </c>
      <c r="L55" s="281"/>
      <c r="M55" s="280">
        <f>Table3[[#This Row],[TOTAL]]-Table3[[#This Row],[DISKON*]]</f>
        <v>0</v>
      </c>
    </row>
    <row r="56" spans="1:14" ht="14.25">
      <c r="A56" s="166">
        <v>50</v>
      </c>
      <c r="B56" s="297"/>
      <c r="C56" s="219"/>
      <c r="D56" s="154"/>
      <c r="E56" s="202" t="str">
        <f>IFERROR(VLOOKUP(Table3[[#This Row],[KELAS]],Q:X,2,FALSE),"")</f>
        <v/>
      </c>
      <c r="F56" s="202" t="str">
        <f>IFERROR(VLOOKUP(Table3[[#This Row],[KELAS]],Q:X,3,FALSE),"")</f>
        <v/>
      </c>
      <c r="G56" s="202" t="str">
        <f>IFERROR(VLOOKUP(Table3[[#This Row],[KELAS]],Q:X,4,FALSE),"")</f>
        <v/>
      </c>
      <c r="H56" s="202" t="str">
        <f>IFERROR(VLOOKUP(Table3[[#This Row],[KELAS]],Q:X,5,FALSE),"")</f>
        <v/>
      </c>
      <c r="I56" s="202" t="str">
        <f>IFERROR(VLOOKUP(Table3[[#This Row],[KELAS]],Q:X,6,FALSE),"")</f>
        <v/>
      </c>
      <c r="J56" s="203"/>
      <c r="K56" s="204">
        <f>SUM(Table3[[#This Row],[PENDAFT.]:[SPP*]])</f>
        <v>0</v>
      </c>
      <c r="L56" s="203"/>
      <c r="M56" s="205">
        <f>Table3[[#This Row],[TOTAL]]-Table3[[#This Row],[DISKON*]]</f>
        <v>0</v>
      </c>
      <c r="N56" s="16" t="s">
        <v>207</v>
      </c>
    </row>
    <row r="57" spans="1:14" ht="14.25">
      <c r="A57" s="166">
        <v>51</v>
      </c>
      <c r="B57" s="297"/>
      <c r="C57" s="219"/>
      <c r="D57" s="154"/>
      <c r="E57" s="202" t="str">
        <f>IFERROR(VLOOKUP(Table3[[#This Row],[KELAS]],Q:X,2,FALSE),"")</f>
        <v/>
      </c>
      <c r="F57" s="202" t="str">
        <f>IFERROR(VLOOKUP(Table3[[#This Row],[KELAS]],Q:X,3,FALSE),"")</f>
        <v/>
      </c>
      <c r="G57" s="202" t="str">
        <f>IFERROR(VLOOKUP(Table3[[#This Row],[KELAS]],Q:X,4,FALSE),"")</f>
        <v/>
      </c>
      <c r="H57" s="202" t="str">
        <f>IFERROR(VLOOKUP(Table3[[#This Row],[KELAS]],Q:X,5,FALSE),"")</f>
        <v/>
      </c>
      <c r="I57" s="202" t="str">
        <f>IFERROR(VLOOKUP(Table3[[#This Row],[KELAS]],Q:X,6,FALSE),"")</f>
        <v/>
      </c>
      <c r="J57" s="203"/>
      <c r="K57" s="204">
        <f>SUM(Table3[[#This Row],[PENDAFT.]:[SPP*]])</f>
        <v>0</v>
      </c>
      <c r="L57" s="203"/>
      <c r="M57" s="205">
        <f>Table3[[#This Row],[TOTAL]]-Table3[[#This Row],[DISKON*]]</f>
        <v>0</v>
      </c>
    </row>
    <row r="58" spans="1:14" ht="14.25">
      <c r="A58" s="166">
        <v>52</v>
      </c>
      <c r="B58" s="87"/>
      <c r="C58" s="219"/>
      <c r="D58" s="154"/>
      <c r="E58" s="202" t="str">
        <f>IFERROR(VLOOKUP(Table3[[#This Row],[KELAS]],Q:X,2,FALSE),"")</f>
        <v/>
      </c>
      <c r="F58" s="202" t="str">
        <f>IFERROR(VLOOKUP(Table3[[#This Row],[KELAS]],Q:X,3,FALSE),"")</f>
        <v/>
      </c>
      <c r="G58" s="202" t="str">
        <f>IFERROR(VLOOKUP(Table3[[#This Row],[KELAS]],Q:X,4,FALSE),"")</f>
        <v/>
      </c>
      <c r="H58" s="202" t="str">
        <f>IFERROR(VLOOKUP(Table3[[#This Row],[KELAS]],Q:X,5,FALSE),"")</f>
        <v/>
      </c>
      <c r="I58" s="202" t="str">
        <f>IFERROR(VLOOKUP(Table3[[#This Row],[KELAS]],Q:X,6,FALSE),"")</f>
        <v/>
      </c>
      <c r="J58" s="203"/>
      <c r="K58" s="204">
        <f>SUM(Table3[[#This Row],[PENDAFT.]:[SPP*]])</f>
        <v>0</v>
      </c>
      <c r="L58" s="203"/>
      <c r="M58" s="205">
        <f>Table3[[#This Row],[TOTAL]]-Table3[[#This Row],[DISKON*]]</f>
        <v>0</v>
      </c>
    </row>
    <row r="59" spans="1:14">
      <c r="A59" s="166">
        <v>53</v>
      </c>
      <c r="B59" s="332"/>
      <c r="C59" s="219"/>
      <c r="D59" s="154"/>
      <c r="E59" s="202" t="str">
        <f>IFERROR(VLOOKUP(Table3[[#This Row],[KELAS]],Q:X,2,FALSE),"")</f>
        <v/>
      </c>
      <c r="F59" s="202" t="str">
        <f>IFERROR(VLOOKUP(Table3[[#This Row],[KELAS]],Q:X,3,FALSE),"")</f>
        <v/>
      </c>
      <c r="G59" s="202" t="str">
        <f>IFERROR(VLOOKUP(Table3[[#This Row],[KELAS]],Q:X,4,FALSE),"")</f>
        <v/>
      </c>
      <c r="H59" s="202" t="str">
        <f>IFERROR(VLOOKUP(Table3[[#This Row],[KELAS]],Q:X,5,FALSE),"")</f>
        <v/>
      </c>
      <c r="I59" s="202" t="str">
        <f>IFERROR(VLOOKUP(Table3[[#This Row],[KELAS]],Q:X,6,FALSE),"")</f>
        <v/>
      </c>
      <c r="J59" s="203"/>
      <c r="K59" s="204">
        <f>SUM(Table3[[#This Row],[PENDAFT.]:[SPP*]])</f>
        <v>0</v>
      </c>
      <c r="L59" s="203"/>
      <c r="M59" s="205">
        <f>Table3[[#This Row],[TOTAL]]-Table3[[#This Row],[DISKON*]]</f>
        <v>0</v>
      </c>
    </row>
    <row r="60" spans="1:14">
      <c r="A60" s="166">
        <v>54</v>
      </c>
      <c r="B60" s="332"/>
      <c r="C60" s="219"/>
      <c r="D60" s="154"/>
      <c r="E60" s="202" t="str">
        <f>IFERROR(VLOOKUP(Table3[[#This Row],[KELAS]],Q:X,2,FALSE),"")</f>
        <v/>
      </c>
      <c r="F60" s="202" t="str">
        <f>IFERROR(VLOOKUP(Table3[[#This Row],[KELAS]],Q:X,3,FALSE),"")</f>
        <v/>
      </c>
      <c r="G60" s="202" t="str">
        <f>IFERROR(VLOOKUP(Table3[[#This Row],[KELAS]],Q:X,4,FALSE),"")</f>
        <v/>
      </c>
      <c r="H60" s="202" t="str">
        <f>IFERROR(VLOOKUP(Table3[[#This Row],[KELAS]],Q:X,5,FALSE),"")</f>
        <v/>
      </c>
      <c r="I60" s="202" t="str">
        <f>IFERROR(VLOOKUP(Table3[[#This Row],[KELAS]],Q:X,6,FALSE),"")</f>
        <v/>
      </c>
      <c r="J60" s="203"/>
      <c r="K60" s="204">
        <f>SUM(Table3[[#This Row],[PENDAFT.]:[SPP*]])</f>
        <v>0</v>
      </c>
      <c r="L60" s="203"/>
      <c r="M60" s="205">
        <f>Table3[[#This Row],[TOTAL]]-Table3[[#This Row],[DISKON*]]</f>
        <v>0</v>
      </c>
    </row>
    <row r="61" spans="1:14">
      <c r="A61" s="166">
        <v>55</v>
      </c>
      <c r="B61" s="333"/>
      <c r="C61" s="219"/>
      <c r="D61" s="154"/>
      <c r="E61" s="202" t="str">
        <f>IFERROR(VLOOKUP(Table3[[#This Row],[KELAS]],Q:X,2,FALSE),"")</f>
        <v/>
      </c>
      <c r="F61" s="202" t="str">
        <f>IFERROR(VLOOKUP(Table3[[#This Row],[KELAS]],Q:X,3,FALSE),"")</f>
        <v/>
      </c>
      <c r="G61" s="202" t="str">
        <f>IFERROR(VLOOKUP(Table3[[#This Row],[KELAS]],Q:X,4,FALSE),"")</f>
        <v/>
      </c>
      <c r="H61" s="202" t="str">
        <f>IFERROR(VLOOKUP(Table3[[#This Row],[KELAS]],Q:X,5,FALSE),"")</f>
        <v/>
      </c>
      <c r="I61" s="202" t="str">
        <f>IFERROR(VLOOKUP(Table3[[#This Row],[KELAS]],Q:X,6,FALSE),"")</f>
        <v/>
      </c>
      <c r="J61" s="203"/>
      <c r="K61" s="204">
        <f>SUM(Table3[[#This Row],[PENDAFT.]:[SPP*]])</f>
        <v>0</v>
      </c>
      <c r="L61" s="203"/>
      <c r="M61" s="205">
        <f>Table3[[#This Row],[TOTAL]]-Table3[[#This Row],[DISKON*]]</f>
        <v>0</v>
      </c>
    </row>
    <row r="62" spans="1:14">
      <c r="A62" s="166">
        <v>56</v>
      </c>
      <c r="B62" s="333"/>
      <c r="C62" s="219"/>
      <c r="D62" s="154"/>
      <c r="E62" s="202" t="str">
        <f>IFERROR(VLOOKUP(Table3[[#This Row],[KELAS]],Q:X,2,FALSE),"")</f>
        <v/>
      </c>
      <c r="F62" s="202" t="str">
        <f>IFERROR(VLOOKUP(Table3[[#This Row],[KELAS]],Q:X,3,FALSE),"")</f>
        <v/>
      </c>
      <c r="G62" s="202" t="str">
        <f>IFERROR(VLOOKUP(Table3[[#This Row],[KELAS]],Q:X,4,FALSE),"")</f>
        <v/>
      </c>
      <c r="H62" s="202" t="str">
        <f>IFERROR(VLOOKUP(Table3[[#This Row],[KELAS]],Q:X,5,FALSE),"")</f>
        <v/>
      </c>
      <c r="I62" s="202" t="str">
        <f>IFERROR(VLOOKUP(Table3[[#This Row],[KELAS]],Q:X,6,FALSE),"")</f>
        <v/>
      </c>
      <c r="J62" s="203"/>
      <c r="K62" s="204">
        <f>SUM(Table3[[#This Row],[PENDAFT.]:[SPP*]])</f>
        <v>0</v>
      </c>
      <c r="L62" s="203"/>
      <c r="M62" s="205">
        <f>Table3[[#This Row],[TOTAL]]-Table3[[#This Row],[DISKON*]]</f>
        <v>0</v>
      </c>
    </row>
    <row r="63" spans="1:14">
      <c r="A63" s="166">
        <v>57</v>
      </c>
      <c r="B63" s="156"/>
      <c r="C63" s="219"/>
      <c r="D63" s="154"/>
      <c r="E63" s="202" t="str">
        <f>IFERROR(VLOOKUP(Table3[[#This Row],[KELAS]],Q:X,2,FALSE),"")</f>
        <v/>
      </c>
      <c r="F63" s="202" t="str">
        <f>IFERROR(VLOOKUP(Table3[[#This Row],[KELAS]],Q:X,3,FALSE),"")</f>
        <v/>
      </c>
      <c r="G63" s="202" t="str">
        <f>IFERROR(VLOOKUP(Table3[[#This Row],[KELAS]],Q:X,4,FALSE),"")</f>
        <v/>
      </c>
      <c r="H63" s="202" t="str">
        <f>IFERROR(VLOOKUP(Table3[[#This Row],[KELAS]],Q:X,5,FALSE),"")</f>
        <v/>
      </c>
      <c r="I63" s="202" t="str">
        <f>IFERROR(VLOOKUP(Table3[[#This Row],[KELAS]],Q:X,6,FALSE),"")</f>
        <v/>
      </c>
      <c r="J63" s="203"/>
      <c r="K63" s="204">
        <f>SUM(Table3[[#This Row],[PENDAFT.]:[SPP*]])</f>
        <v>0</v>
      </c>
      <c r="L63" s="203"/>
      <c r="M63" s="205">
        <f>Table3[[#This Row],[TOTAL]]-Table3[[#This Row],[DISKON*]]</f>
        <v>0</v>
      </c>
    </row>
    <row r="64" spans="1:14">
      <c r="A64" s="166">
        <v>58</v>
      </c>
      <c r="B64" s="333"/>
      <c r="C64" s="219"/>
      <c r="D64" s="154"/>
      <c r="E64" s="202" t="str">
        <f>IFERROR(VLOOKUP(Table3[[#This Row],[KELAS]],Q:X,2,FALSE),"")</f>
        <v/>
      </c>
      <c r="F64" s="202" t="str">
        <f>IFERROR(VLOOKUP(Table3[[#This Row],[KELAS]],Q:X,3,FALSE),"")</f>
        <v/>
      </c>
      <c r="G64" s="202" t="str">
        <f>IFERROR(VLOOKUP(Table3[[#This Row],[KELAS]],Q:X,4,FALSE),"")</f>
        <v/>
      </c>
      <c r="H64" s="202" t="str">
        <f>IFERROR(VLOOKUP(Table3[[#This Row],[KELAS]],Q:X,5,FALSE),"")</f>
        <v/>
      </c>
      <c r="I64" s="202" t="str">
        <f>IFERROR(VLOOKUP(Table3[[#This Row],[KELAS]],Q:X,6,FALSE),"")</f>
        <v/>
      </c>
      <c r="J64" s="203"/>
      <c r="K64" s="204">
        <f>SUM(Table3[[#This Row],[PENDAFT.]:[SPP*]])</f>
        <v>0</v>
      </c>
      <c r="L64" s="203"/>
      <c r="M64" s="205">
        <f>Table3[[#This Row],[TOTAL]]-Table3[[#This Row],[DISKON*]]</f>
        <v>0</v>
      </c>
    </row>
    <row r="65" spans="1:13">
      <c r="A65" s="166">
        <v>59</v>
      </c>
      <c r="B65" s="333"/>
      <c r="C65" s="219"/>
      <c r="D65" s="154"/>
      <c r="E65" s="202" t="str">
        <f>IFERROR(VLOOKUP(Table3[[#This Row],[KELAS]],Q:X,2,FALSE),"")</f>
        <v/>
      </c>
      <c r="F65" s="202" t="str">
        <f>IFERROR(VLOOKUP(Table3[[#This Row],[KELAS]],Q:X,3,FALSE),"")</f>
        <v/>
      </c>
      <c r="G65" s="202" t="str">
        <f>IFERROR(VLOOKUP(Table3[[#This Row],[KELAS]],Q:X,4,FALSE),"")</f>
        <v/>
      </c>
      <c r="H65" s="202" t="str">
        <f>IFERROR(VLOOKUP(Table3[[#This Row],[KELAS]],Q:X,5,FALSE),"")</f>
        <v/>
      </c>
      <c r="I65" s="202" t="str">
        <f>IFERROR(VLOOKUP(Table3[[#This Row],[KELAS]],Q:X,6,FALSE),"")</f>
        <v/>
      </c>
      <c r="J65" s="203"/>
      <c r="K65" s="204">
        <f>SUM(Table3[[#This Row],[PENDAFT.]:[SPP*]])</f>
        <v>0</v>
      </c>
      <c r="L65" s="203"/>
      <c r="M65" s="205">
        <f>Table3[[#This Row],[TOTAL]]-Table3[[#This Row],[DISKON*]]</f>
        <v>0</v>
      </c>
    </row>
    <row r="66" spans="1:13">
      <c r="A66" s="166">
        <v>60</v>
      </c>
      <c r="B66" s="156"/>
      <c r="C66" s="219"/>
      <c r="D66" s="154"/>
      <c r="E66" s="202" t="str">
        <f>IFERROR(VLOOKUP(Table3[[#This Row],[KELAS]],Q:X,2,FALSE),"")</f>
        <v/>
      </c>
      <c r="F66" s="202" t="str">
        <f>IFERROR(VLOOKUP(Table3[[#This Row],[KELAS]],Q:X,3,FALSE),"")</f>
        <v/>
      </c>
      <c r="G66" s="202" t="str">
        <f>IFERROR(VLOOKUP(Table3[[#This Row],[KELAS]],Q:X,4,FALSE),"")</f>
        <v/>
      </c>
      <c r="H66" s="202" t="str">
        <f>IFERROR(VLOOKUP(Table3[[#This Row],[KELAS]],Q:X,5,FALSE),"")</f>
        <v/>
      </c>
      <c r="I66" s="202" t="str">
        <f>IFERROR(VLOOKUP(Table3[[#This Row],[KELAS]],Q:X,6,FALSE),"")</f>
        <v/>
      </c>
      <c r="J66" s="203"/>
      <c r="K66" s="204">
        <f>SUM(Table3[[#This Row],[PENDAFT.]:[SPP*]])</f>
        <v>0</v>
      </c>
      <c r="L66" s="203"/>
      <c r="M66" s="205">
        <f>Table3[[#This Row],[TOTAL]]-Table3[[#This Row],[DISKON*]]</f>
        <v>0</v>
      </c>
    </row>
    <row r="67" spans="1:13">
      <c r="A67" s="166">
        <v>61</v>
      </c>
      <c r="B67" s="334"/>
      <c r="C67" s="219"/>
      <c r="D67" s="154"/>
      <c r="E67" s="202" t="str">
        <f>IFERROR(VLOOKUP(Table3[[#This Row],[KELAS]],Q:X,2,FALSE),"")</f>
        <v/>
      </c>
      <c r="F67" s="202" t="str">
        <f>IFERROR(VLOOKUP(Table3[[#This Row],[KELAS]],Q:X,3,FALSE),"")</f>
        <v/>
      </c>
      <c r="G67" s="202" t="str">
        <f>IFERROR(VLOOKUP(Table3[[#This Row],[KELAS]],Q:X,4,FALSE),"")</f>
        <v/>
      </c>
      <c r="H67" s="202" t="str">
        <f>IFERROR(VLOOKUP(Table3[[#This Row],[KELAS]],Q:X,5,FALSE),"")</f>
        <v/>
      </c>
      <c r="I67" s="202" t="str">
        <f>IFERROR(VLOOKUP(Table3[[#This Row],[KELAS]],Q:X,6,FALSE),"")</f>
        <v/>
      </c>
      <c r="J67" s="203"/>
      <c r="K67" s="204">
        <f>SUM(Table3[[#This Row],[PENDAFT.]:[SPP*]])</f>
        <v>0</v>
      </c>
      <c r="L67" s="203"/>
      <c r="M67" s="205">
        <f>Table3[[#This Row],[TOTAL]]-Table3[[#This Row],[DISKON*]]</f>
        <v>0</v>
      </c>
    </row>
    <row r="68" spans="1:13">
      <c r="A68" s="166">
        <v>62</v>
      </c>
      <c r="B68" s="156"/>
      <c r="C68" s="219"/>
      <c r="D68" s="154"/>
      <c r="E68" s="202" t="str">
        <f>IFERROR(VLOOKUP(Table3[[#This Row],[KELAS]],Q:X,2,FALSE),"")</f>
        <v/>
      </c>
      <c r="F68" s="202" t="str">
        <f>IFERROR(VLOOKUP(Table3[[#This Row],[KELAS]],Q:X,3,FALSE),"")</f>
        <v/>
      </c>
      <c r="G68" s="202" t="str">
        <f>IFERROR(VLOOKUP(Table3[[#This Row],[KELAS]],Q:X,4,FALSE),"")</f>
        <v/>
      </c>
      <c r="H68" s="202" t="str">
        <f>IFERROR(VLOOKUP(Table3[[#This Row],[KELAS]],Q:X,5,FALSE),"")</f>
        <v/>
      </c>
      <c r="I68" s="202" t="str">
        <f>IFERROR(VLOOKUP(Table3[[#This Row],[KELAS]],Q:X,6,FALSE),"")</f>
        <v/>
      </c>
      <c r="J68" s="203"/>
      <c r="K68" s="204">
        <f>SUM(Table3[[#This Row],[PENDAFT.]:[SPP*]])</f>
        <v>0</v>
      </c>
      <c r="L68" s="203"/>
      <c r="M68" s="205">
        <f>Table3[[#This Row],[TOTAL]]-Table3[[#This Row],[DISKON*]]</f>
        <v>0</v>
      </c>
    </row>
    <row r="69" spans="1:13">
      <c r="A69" s="166">
        <v>63</v>
      </c>
      <c r="B69" s="156"/>
      <c r="C69" s="219"/>
      <c r="D69" s="154"/>
      <c r="E69" s="202" t="str">
        <f>IFERROR(VLOOKUP(Table3[[#This Row],[KELAS]],Q:X,2,FALSE),"")</f>
        <v/>
      </c>
      <c r="F69" s="202" t="str">
        <f>IFERROR(VLOOKUP(Table3[[#This Row],[KELAS]],Q:X,3,FALSE),"")</f>
        <v/>
      </c>
      <c r="G69" s="202" t="str">
        <f>IFERROR(VLOOKUP(Table3[[#This Row],[KELAS]],Q:X,4,FALSE),"")</f>
        <v/>
      </c>
      <c r="H69" s="202" t="str">
        <f>IFERROR(VLOOKUP(Table3[[#This Row],[KELAS]],Q:X,5,FALSE),"")</f>
        <v/>
      </c>
      <c r="I69" s="202" t="str">
        <f>IFERROR(VLOOKUP(Table3[[#This Row],[KELAS]],Q:X,6,FALSE),"")</f>
        <v/>
      </c>
      <c r="J69" s="203"/>
      <c r="K69" s="204">
        <f>SUM(Table3[[#This Row],[PENDAFT.]:[SPP*]])</f>
        <v>0</v>
      </c>
      <c r="L69" s="203"/>
      <c r="M69" s="205">
        <f>Table3[[#This Row],[TOTAL]]-Table3[[#This Row],[DISKON*]]</f>
        <v>0</v>
      </c>
    </row>
    <row r="70" spans="1:13">
      <c r="A70" s="166">
        <v>64</v>
      </c>
      <c r="B70" s="334"/>
      <c r="C70" s="219"/>
      <c r="D70" s="154"/>
      <c r="E70" s="202" t="str">
        <f>IFERROR(VLOOKUP(Table3[[#This Row],[KELAS]],Q:X,2,FALSE),"")</f>
        <v/>
      </c>
      <c r="F70" s="202" t="str">
        <f>IFERROR(VLOOKUP(Table3[[#This Row],[KELAS]],Q:X,3,FALSE),"")</f>
        <v/>
      </c>
      <c r="G70" s="202" t="str">
        <f>IFERROR(VLOOKUP(Table3[[#This Row],[KELAS]],Q:X,4,FALSE),"")</f>
        <v/>
      </c>
      <c r="H70" s="202" t="str">
        <f>IFERROR(VLOOKUP(Table3[[#This Row],[KELAS]],Q:X,5,FALSE),"")</f>
        <v/>
      </c>
      <c r="I70" s="202" t="str">
        <f>IFERROR(VLOOKUP(Table3[[#This Row],[KELAS]],Q:X,6,FALSE),"")</f>
        <v/>
      </c>
      <c r="J70" s="203"/>
      <c r="K70" s="204">
        <f>SUM(Table3[[#This Row],[PENDAFT.]:[SPP*]])</f>
        <v>0</v>
      </c>
      <c r="L70" s="203"/>
      <c r="M70" s="205">
        <f>Table3[[#This Row],[TOTAL]]-Table3[[#This Row],[DISKON*]]</f>
        <v>0</v>
      </c>
    </row>
    <row r="71" spans="1:13">
      <c r="A71" s="166">
        <v>65</v>
      </c>
      <c r="B71" s="156"/>
      <c r="C71" s="219"/>
      <c r="D71" s="154"/>
      <c r="E71" s="202" t="str">
        <f>IFERROR(VLOOKUP(Table3[[#This Row],[KELAS]],Q:X,2,FALSE),"")</f>
        <v/>
      </c>
      <c r="F71" s="202" t="str">
        <f>IFERROR(VLOOKUP(Table3[[#This Row],[KELAS]],Q:X,3,FALSE),"")</f>
        <v/>
      </c>
      <c r="G71" s="202" t="str">
        <f>IFERROR(VLOOKUP(Table3[[#This Row],[KELAS]],Q:X,4,FALSE),"")</f>
        <v/>
      </c>
      <c r="H71" s="202" t="str">
        <f>IFERROR(VLOOKUP(Table3[[#This Row],[KELAS]],Q:X,5,FALSE),"")</f>
        <v/>
      </c>
      <c r="I71" s="202" t="str">
        <f>IFERROR(VLOOKUP(Table3[[#This Row],[KELAS]],Q:X,6,FALSE),"")</f>
        <v/>
      </c>
      <c r="J71" s="203"/>
      <c r="K71" s="204">
        <f>SUM(Table3[[#This Row],[PENDAFT.]:[SPP*]])</f>
        <v>0</v>
      </c>
      <c r="L71" s="203"/>
      <c r="M71" s="205">
        <f>Table3[[#This Row],[TOTAL]]-Table3[[#This Row],[DISKON*]]</f>
        <v>0</v>
      </c>
    </row>
    <row r="72" spans="1:13">
      <c r="A72" s="166">
        <v>66</v>
      </c>
      <c r="B72" s="334"/>
      <c r="C72" s="219"/>
      <c r="D72" s="154"/>
      <c r="E72" s="202" t="str">
        <f>IFERROR(VLOOKUP(Table3[[#This Row],[KELAS]],Q:X,2,FALSE),"")</f>
        <v/>
      </c>
      <c r="F72" s="202" t="str">
        <f>IFERROR(VLOOKUP(Table3[[#This Row],[KELAS]],Q:X,3,FALSE),"")</f>
        <v/>
      </c>
      <c r="G72" s="202" t="str">
        <f>IFERROR(VLOOKUP(Table3[[#This Row],[KELAS]],Q:X,4,FALSE),"")</f>
        <v/>
      </c>
      <c r="H72" s="202" t="str">
        <f>IFERROR(VLOOKUP(Table3[[#This Row],[KELAS]],Q:X,5,FALSE),"")</f>
        <v/>
      </c>
      <c r="I72" s="202" t="str">
        <f>IFERROR(VLOOKUP(Table3[[#This Row],[KELAS]],Q:X,6,FALSE),"")</f>
        <v/>
      </c>
      <c r="J72" s="203"/>
      <c r="K72" s="204">
        <f>SUM(Table3[[#This Row],[PENDAFT.]:[SPP*]])</f>
        <v>0</v>
      </c>
      <c r="L72" s="203"/>
      <c r="M72" s="205">
        <f>Table3[[#This Row],[TOTAL]]-Table3[[#This Row],[DISKON*]]</f>
        <v>0</v>
      </c>
    </row>
    <row r="73" spans="1:13">
      <c r="A73" s="166">
        <v>67</v>
      </c>
      <c r="B73" s="350"/>
      <c r="C73" s="219"/>
      <c r="D73" s="154"/>
      <c r="E73" s="202" t="str">
        <f>IFERROR(VLOOKUP(Table3[[#This Row],[KELAS]],Q:X,2,FALSE),"")</f>
        <v/>
      </c>
      <c r="F73" s="202" t="str">
        <f>IFERROR(VLOOKUP(Table3[[#This Row],[KELAS]],Q:X,3,FALSE),"")</f>
        <v/>
      </c>
      <c r="G73" s="202" t="str">
        <f>IFERROR(VLOOKUP(Table3[[#This Row],[KELAS]],Q:X,4,FALSE),"")</f>
        <v/>
      </c>
      <c r="H73" s="202" t="str">
        <f>IFERROR(VLOOKUP(Table3[[#This Row],[KELAS]],Q:X,5,FALSE),"")</f>
        <v/>
      </c>
      <c r="I73" s="202" t="str">
        <f>IFERROR(VLOOKUP(Table3[[#This Row],[KELAS]],Q:X,6,FALSE),"")</f>
        <v/>
      </c>
      <c r="J73" s="203"/>
      <c r="K73" s="204">
        <f>SUM(Table3[[#This Row],[PENDAFT.]:[SPP*]])</f>
        <v>0</v>
      </c>
      <c r="L73" s="203"/>
      <c r="M73" s="205">
        <f>Table3[[#This Row],[TOTAL]]-Table3[[#This Row],[DISKON*]]</f>
        <v>0</v>
      </c>
    </row>
    <row r="74" spans="1:13">
      <c r="A74" s="166">
        <v>68</v>
      </c>
      <c r="B74" s="334"/>
      <c r="C74" s="219"/>
      <c r="D74" s="154"/>
      <c r="E74" s="202" t="str">
        <f>IFERROR(VLOOKUP(Table3[[#This Row],[KELAS]],Q:X,2,FALSE),"")</f>
        <v/>
      </c>
      <c r="F74" s="202" t="str">
        <f>IFERROR(VLOOKUP(Table3[[#This Row],[KELAS]],Q:X,3,FALSE),"")</f>
        <v/>
      </c>
      <c r="G74" s="202" t="str">
        <f>IFERROR(VLOOKUP(Table3[[#This Row],[KELAS]],Q:X,4,FALSE),"")</f>
        <v/>
      </c>
      <c r="H74" s="202" t="str">
        <f>IFERROR(VLOOKUP(Table3[[#This Row],[KELAS]],Q:X,5,FALSE),"")</f>
        <v/>
      </c>
      <c r="I74" s="202" t="str">
        <f>IFERROR(VLOOKUP(Table3[[#This Row],[KELAS]],Q:X,6,FALSE),"")</f>
        <v/>
      </c>
      <c r="J74" s="203"/>
      <c r="K74" s="204">
        <f>SUM(Table3[[#This Row],[PENDAFT.]:[SPP*]])</f>
        <v>0</v>
      </c>
      <c r="L74" s="203"/>
      <c r="M74" s="205">
        <f>Table3[[#This Row],[TOTAL]]-Table3[[#This Row],[DISKON*]]</f>
        <v>0</v>
      </c>
    </row>
    <row r="75" spans="1:13">
      <c r="A75" s="166">
        <v>69</v>
      </c>
      <c r="B75" s="156"/>
      <c r="C75" s="219"/>
      <c r="D75" s="154"/>
      <c r="E75" s="202" t="str">
        <f>IFERROR(VLOOKUP(Table3[[#This Row],[KELAS]],Q:X,2,FALSE),"")</f>
        <v/>
      </c>
      <c r="F75" s="202" t="str">
        <f>IFERROR(VLOOKUP(Table3[[#This Row],[KELAS]],Q:X,3,FALSE),"")</f>
        <v/>
      </c>
      <c r="G75" s="202" t="str">
        <f>IFERROR(VLOOKUP(Table3[[#This Row],[KELAS]],Q:X,4,FALSE),"")</f>
        <v/>
      </c>
      <c r="H75" s="202" t="str">
        <f>IFERROR(VLOOKUP(Table3[[#This Row],[KELAS]],Q:X,5,FALSE),"")</f>
        <v/>
      </c>
      <c r="I75" s="202" t="str">
        <f>IFERROR(VLOOKUP(Table3[[#This Row],[KELAS]],Q:X,6,FALSE),"")</f>
        <v/>
      </c>
      <c r="J75" s="203"/>
      <c r="K75" s="204">
        <f>SUM(Table3[[#This Row],[PENDAFT.]:[SPP*]])</f>
        <v>0</v>
      </c>
      <c r="L75" s="203"/>
      <c r="M75" s="205">
        <f>Table3[[#This Row],[TOTAL]]-Table3[[#This Row],[DISKON*]]</f>
        <v>0</v>
      </c>
    </row>
    <row r="76" spans="1:13">
      <c r="A76" s="166">
        <v>70</v>
      </c>
      <c r="B76" s="156"/>
      <c r="C76" s="219"/>
      <c r="D76" s="154"/>
      <c r="E76" s="202" t="str">
        <f>IFERROR(VLOOKUP(Table3[[#This Row],[KELAS]],Q:X,2,FALSE),"")</f>
        <v/>
      </c>
      <c r="F76" s="202" t="str">
        <f>IFERROR(VLOOKUP(Table3[[#This Row],[KELAS]],Q:X,3,FALSE),"")</f>
        <v/>
      </c>
      <c r="G76" s="202" t="str">
        <f>IFERROR(VLOOKUP(Table3[[#This Row],[KELAS]],Q:X,4,FALSE),"")</f>
        <v/>
      </c>
      <c r="H76" s="202" t="str">
        <f>IFERROR(VLOOKUP(Table3[[#This Row],[KELAS]],Q:X,5,FALSE),"")</f>
        <v/>
      </c>
      <c r="I76" s="202" t="str">
        <f>IFERROR(VLOOKUP(Table3[[#This Row],[KELAS]],Q:X,6,FALSE),"")</f>
        <v/>
      </c>
      <c r="J76" s="203"/>
      <c r="K76" s="204">
        <f>SUM(Table3[[#This Row],[PENDAFT.]:[SPP*]])</f>
        <v>0</v>
      </c>
      <c r="L76" s="203"/>
      <c r="M76" s="205">
        <f>Table3[[#This Row],[TOTAL]]-Table3[[#This Row],[DISKON*]]</f>
        <v>0</v>
      </c>
    </row>
    <row r="77" spans="1:13">
      <c r="A77" s="166">
        <v>71</v>
      </c>
      <c r="B77" s="350"/>
      <c r="C77" s="219"/>
      <c r="D77" s="154"/>
      <c r="E77" s="202" t="str">
        <f>IFERROR(VLOOKUP(Table3[[#This Row],[KELAS]],Q:X,2,FALSE),"")</f>
        <v/>
      </c>
      <c r="F77" s="202" t="str">
        <f>IFERROR(VLOOKUP(Table3[[#This Row],[KELAS]],Q:X,3,FALSE),"")</f>
        <v/>
      </c>
      <c r="G77" s="202" t="str">
        <f>IFERROR(VLOOKUP(Table3[[#This Row],[KELAS]],Q:X,4,FALSE),"")</f>
        <v/>
      </c>
      <c r="H77" s="202" t="str">
        <f>IFERROR(VLOOKUP(Table3[[#This Row],[KELAS]],Q:X,5,FALSE),"")</f>
        <v/>
      </c>
      <c r="I77" s="202" t="str">
        <f>IFERROR(VLOOKUP(Table3[[#This Row],[KELAS]],Q:X,6,FALSE),"")</f>
        <v/>
      </c>
      <c r="J77" s="203"/>
      <c r="K77" s="204">
        <f>SUM(Table3[[#This Row],[PENDAFT.]:[SPP*]])</f>
        <v>0</v>
      </c>
      <c r="L77" s="203"/>
      <c r="M77" s="205">
        <f>Table3[[#This Row],[TOTAL]]-Table3[[#This Row],[DISKON*]]</f>
        <v>0</v>
      </c>
    </row>
    <row r="78" spans="1:13">
      <c r="A78" s="166">
        <v>72</v>
      </c>
      <c r="B78" s="334"/>
      <c r="C78" s="219"/>
      <c r="D78" s="154"/>
      <c r="E78" s="202" t="str">
        <f>IFERROR(VLOOKUP(Table3[[#This Row],[KELAS]],Q:X,2,FALSE),"")</f>
        <v/>
      </c>
      <c r="F78" s="202" t="str">
        <f>IFERROR(VLOOKUP(Table3[[#This Row],[KELAS]],Q:X,3,FALSE),"")</f>
        <v/>
      </c>
      <c r="G78" s="202" t="str">
        <f>IFERROR(VLOOKUP(Table3[[#This Row],[KELAS]],Q:X,4,FALSE),"")</f>
        <v/>
      </c>
      <c r="H78" s="202" t="str">
        <f>IFERROR(VLOOKUP(Table3[[#This Row],[KELAS]],Q:X,5,FALSE),"")</f>
        <v/>
      </c>
      <c r="I78" s="202" t="str">
        <f>IFERROR(VLOOKUP(Table3[[#This Row],[KELAS]],Q:X,6,FALSE),"")</f>
        <v/>
      </c>
      <c r="J78" s="203"/>
      <c r="K78" s="204">
        <f>SUM(Table3[[#This Row],[PENDAFT.]:[SPP*]])</f>
        <v>0</v>
      </c>
      <c r="L78" s="203"/>
      <c r="M78" s="205">
        <f>Table3[[#This Row],[TOTAL]]-Table3[[#This Row],[DISKON*]]</f>
        <v>0</v>
      </c>
    </row>
    <row r="79" spans="1:13">
      <c r="A79" s="166">
        <v>73</v>
      </c>
      <c r="B79" s="156"/>
      <c r="C79" s="219"/>
      <c r="D79" s="154"/>
      <c r="E79" s="202" t="str">
        <f>IFERROR(VLOOKUP(Table3[[#This Row],[KELAS]],Q:X,2,FALSE),"")</f>
        <v/>
      </c>
      <c r="F79" s="202" t="str">
        <f>IFERROR(VLOOKUP(Table3[[#This Row],[KELAS]],Q:X,3,FALSE),"")</f>
        <v/>
      </c>
      <c r="G79" s="202" t="str">
        <f>IFERROR(VLOOKUP(Table3[[#This Row],[KELAS]],Q:X,4,FALSE),"")</f>
        <v/>
      </c>
      <c r="H79" s="202" t="str">
        <f>IFERROR(VLOOKUP(Table3[[#This Row],[KELAS]],Q:X,5,FALSE),"")</f>
        <v/>
      </c>
      <c r="I79" s="202" t="str">
        <f>IFERROR(VLOOKUP(Table3[[#This Row],[KELAS]],Q:X,6,FALSE),"")</f>
        <v/>
      </c>
      <c r="J79" s="203"/>
      <c r="K79" s="204">
        <f>SUM(Table3[[#This Row],[PENDAFT.]:[SPP*]])</f>
        <v>0</v>
      </c>
      <c r="L79" s="203"/>
      <c r="M79" s="205">
        <f>Table3[[#This Row],[TOTAL]]-Table3[[#This Row],[DISKON*]]</f>
        <v>0</v>
      </c>
    </row>
    <row r="80" spans="1:13">
      <c r="A80" s="166">
        <v>74</v>
      </c>
      <c r="B80" s="334"/>
      <c r="C80" s="219"/>
      <c r="D80" s="154"/>
      <c r="E80" s="202" t="str">
        <f>IFERROR(VLOOKUP(Table3[[#This Row],[KELAS]],Q:X,2,FALSE),"")</f>
        <v/>
      </c>
      <c r="F80" s="202" t="str">
        <f>IFERROR(VLOOKUP(Table3[[#This Row],[KELAS]],Q:X,3,FALSE),"")</f>
        <v/>
      </c>
      <c r="G80" s="202" t="str">
        <f>IFERROR(VLOOKUP(Table3[[#This Row],[KELAS]],Q:X,4,FALSE),"")</f>
        <v/>
      </c>
      <c r="H80" s="202" t="str">
        <f>IFERROR(VLOOKUP(Table3[[#This Row],[KELAS]],Q:X,5,FALSE),"")</f>
        <v/>
      </c>
      <c r="I80" s="202" t="str">
        <f>IFERROR(VLOOKUP(Table3[[#This Row],[KELAS]],Q:X,6,FALSE),"")</f>
        <v/>
      </c>
      <c r="J80" s="203"/>
      <c r="K80" s="204">
        <f>SUM(Table3[[#This Row],[PENDAFT.]:[SPP*]])</f>
        <v>0</v>
      </c>
      <c r="L80" s="203"/>
      <c r="M80" s="205">
        <f>Table3[[#This Row],[TOTAL]]-Table3[[#This Row],[DISKON*]]</f>
        <v>0</v>
      </c>
    </row>
    <row r="81" spans="1:13">
      <c r="A81" s="166">
        <v>75</v>
      </c>
      <c r="B81" s="350"/>
      <c r="C81" s="219"/>
      <c r="D81" s="154"/>
      <c r="E81" s="202" t="str">
        <f>IFERROR(VLOOKUP(Table3[[#This Row],[KELAS]],Q:X,2,FALSE),"")</f>
        <v/>
      </c>
      <c r="F81" s="202" t="str">
        <f>IFERROR(VLOOKUP(Table3[[#This Row],[KELAS]],Q:X,3,FALSE),"")</f>
        <v/>
      </c>
      <c r="G81" s="202" t="str">
        <f>IFERROR(VLOOKUP(Table3[[#This Row],[KELAS]],Q:X,4,FALSE),"")</f>
        <v/>
      </c>
      <c r="H81" s="202" t="str">
        <f>IFERROR(VLOOKUP(Table3[[#This Row],[KELAS]],Q:X,5,FALSE),"")</f>
        <v/>
      </c>
      <c r="I81" s="202" t="str">
        <f>IFERROR(VLOOKUP(Table3[[#This Row],[KELAS]],Q:X,6,FALSE),"")</f>
        <v/>
      </c>
      <c r="J81" s="203"/>
      <c r="K81" s="204">
        <f>SUM(Table3[[#This Row],[PENDAFT.]:[SPP*]])</f>
        <v>0</v>
      </c>
      <c r="L81" s="203"/>
      <c r="M81" s="205">
        <f>Table3[[#This Row],[TOTAL]]-Table3[[#This Row],[DISKON*]]</f>
        <v>0</v>
      </c>
    </row>
    <row r="82" spans="1:13">
      <c r="A82" s="166">
        <v>76</v>
      </c>
      <c r="B82" s="334"/>
      <c r="C82" s="219"/>
      <c r="D82" s="154"/>
      <c r="E82" s="202" t="str">
        <f>IFERROR(VLOOKUP(Table3[[#This Row],[KELAS]],Q:X,2,FALSE),"")</f>
        <v/>
      </c>
      <c r="F82" s="202" t="str">
        <f>IFERROR(VLOOKUP(Table3[[#This Row],[KELAS]],Q:X,3,FALSE),"")</f>
        <v/>
      </c>
      <c r="G82" s="202" t="str">
        <f>IFERROR(VLOOKUP(Table3[[#This Row],[KELAS]],Q:X,4,FALSE),"")</f>
        <v/>
      </c>
      <c r="H82" s="202" t="str">
        <f>IFERROR(VLOOKUP(Table3[[#This Row],[KELAS]],Q:X,5,FALSE),"")</f>
        <v/>
      </c>
      <c r="I82" s="202" t="str">
        <f>IFERROR(VLOOKUP(Table3[[#This Row],[KELAS]],Q:X,6,FALSE),"")</f>
        <v/>
      </c>
      <c r="J82" s="203"/>
      <c r="K82" s="204">
        <f>SUM(Table3[[#This Row],[PENDAFT.]:[SPP*]])</f>
        <v>0</v>
      </c>
      <c r="L82" s="203"/>
      <c r="M82" s="205">
        <f>Table3[[#This Row],[TOTAL]]-Table3[[#This Row],[DISKON*]]</f>
        <v>0</v>
      </c>
    </row>
    <row r="83" spans="1:13">
      <c r="A83" s="166">
        <v>77</v>
      </c>
      <c r="B83" s="350"/>
      <c r="C83" s="219"/>
      <c r="D83" s="154"/>
      <c r="E83" s="202" t="str">
        <f>IFERROR(VLOOKUP(Table3[[#This Row],[KELAS]],Q:X,2,FALSE),"")</f>
        <v/>
      </c>
      <c r="F83" s="202" t="str">
        <f>IFERROR(VLOOKUP(Table3[[#This Row],[KELAS]],Q:X,3,FALSE),"")</f>
        <v/>
      </c>
      <c r="G83" s="202" t="str">
        <f>IFERROR(VLOOKUP(Table3[[#This Row],[KELAS]],Q:X,4,FALSE),"")</f>
        <v/>
      </c>
      <c r="H83" s="202" t="str">
        <f>IFERROR(VLOOKUP(Table3[[#This Row],[KELAS]],Q:X,5,FALSE),"")</f>
        <v/>
      </c>
      <c r="I83" s="202" t="str">
        <f>IFERROR(VLOOKUP(Table3[[#This Row],[KELAS]],Q:X,6,FALSE),"")</f>
        <v/>
      </c>
      <c r="J83" s="203"/>
      <c r="K83" s="204">
        <f>SUM(Table3[[#This Row],[PENDAFT.]:[SPP*]])</f>
        <v>0</v>
      </c>
      <c r="L83" s="203"/>
      <c r="M83" s="205">
        <f>Table3[[#This Row],[TOTAL]]-Table3[[#This Row],[DISKON*]]</f>
        <v>0</v>
      </c>
    </row>
    <row r="84" spans="1:13">
      <c r="A84" s="166">
        <v>78</v>
      </c>
      <c r="B84" s="334"/>
      <c r="C84" s="219"/>
      <c r="D84" s="154"/>
      <c r="E84" s="202" t="str">
        <f>IFERROR(VLOOKUP(Table3[[#This Row],[KELAS]],Q:X,2,FALSE),"")</f>
        <v/>
      </c>
      <c r="F84" s="202" t="str">
        <f>IFERROR(VLOOKUP(Table3[[#This Row],[KELAS]],Q:X,3,FALSE),"")</f>
        <v/>
      </c>
      <c r="G84" s="202" t="str">
        <f>IFERROR(VLOOKUP(Table3[[#This Row],[KELAS]],Q:X,4,FALSE),"")</f>
        <v/>
      </c>
      <c r="H84" s="202" t="str">
        <f>IFERROR(VLOOKUP(Table3[[#This Row],[KELAS]],Q:X,5,FALSE),"")</f>
        <v/>
      </c>
      <c r="I84" s="202" t="str">
        <f>IFERROR(VLOOKUP(Table3[[#This Row],[KELAS]],Q:X,6,FALSE),"")</f>
        <v/>
      </c>
      <c r="J84" s="203"/>
      <c r="K84" s="204">
        <f>SUM(Table3[[#This Row],[PENDAFT.]:[SPP*]])</f>
        <v>0</v>
      </c>
      <c r="L84" s="203"/>
      <c r="M84" s="205">
        <f>Table3[[#This Row],[TOTAL]]-Table3[[#This Row],[DISKON*]]</f>
        <v>0</v>
      </c>
    </row>
    <row r="85" spans="1:13">
      <c r="A85" s="166">
        <v>79</v>
      </c>
      <c r="B85" s="156"/>
      <c r="C85" s="219"/>
      <c r="D85" s="154"/>
      <c r="E85" s="202" t="str">
        <f>IFERROR(VLOOKUP(Table3[[#This Row],[KELAS]],Q:X,2,FALSE),"")</f>
        <v/>
      </c>
      <c r="F85" s="202" t="str">
        <f>IFERROR(VLOOKUP(Table3[[#This Row],[KELAS]],Q:X,3,FALSE),"")</f>
        <v/>
      </c>
      <c r="G85" s="202" t="str">
        <f>IFERROR(VLOOKUP(Table3[[#This Row],[KELAS]],Q:X,4,FALSE),"")</f>
        <v/>
      </c>
      <c r="H85" s="202" t="str">
        <f>IFERROR(VLOOKUP(Table3[[#This Row],[KELAS]],Q:X,5,FALSE),"")</f>
        <v/>
      </c>
      <c r="I85" s="202" t="str">
        <f>IFERROR(VLOOKUP(Table3[[#This Row],[KELAS]],Q:X,6,FALSE),"")</f>
        <v/>
      </c>
      <c r="J85" s="203"/>
      <c r="K85" s="204">
        <f>SUM(Table3[[#This Row],[PENDAFT.]:[SPP*]])</f>
        <v>0</v>
      </c>
      <c r="L85" s="203"/>
      <c r="M85" s="205">
        <f>Table3[[#This Row],[TOTAL]]-Table3[[#This Row],[DISKON*]]</f>
        <v>0</v>
      </c>
    </row>
    <row r="86" spans="1:13">
      <c r="A86" s="166">
        <v>80</v>
      </c>
      <c r="B86" s="156"/>
      <c r="C86" s="219"/>
      <c r="D86" s="154"/>
      <c r="E86" s="202" t="str">
        <f>IFERROR(VLOOKUP(Table3[[#This Row],[KELAS]],Q:X,2,FALSE),"")</f>
        <v/>
      </c>
      <c r="F86" s="202" t="str">
        <f>IFERROR(VLOOKUP(Table3[[#This Row],[KELAS]],Q:X,3,FALSE),"")</f>
        <v/>
      </c>
      <c r="G86" s="202" t="str">
        <f>IFERROR(VLOOKUP(Table3[[#This Row],[KELAS]],Q:X,4,FALSE),"")</f>
        <v/>
      </c>
      <c r="H86" s="202" t="str">
        <f>IFERROR(VLOOKUP(Table3[[#This Row],[KELAS]],Q:X,5,FALSE),"")</f>
        <v/>
      </c>
      <c r="I86" s="202" t="str">
        <f>IFERROR(VLOOKUP(Table3[[#This Row],[KELAS]],Q:X,6,FALSE),"")</f>
        <v/>
      </c>
      <c r="J86" s="203"/>
      <c r="K86" s="204">
        <f>SUM(Table3[[#This Row],[PENDAFT.]:[SPP*]])</f>
        <v>0</v>
      </c>
      <c r="L86" s="203"/>
      <c r="M86" s="205">
        <f>Table3[[#This Row],[TOTAL]]-Table3[[#This Row],[DISKON*]]</f>
        <v>0</v>
      </c>
    </row>
    <row r="87" spans="1:13">
      <c r="A87" s="166">
        <v>81</v>
      </c>
      <c r="B87" s="156"/>
      <c r="C87" s="219"/>
      <c r="D87" s="154"/>
      <c r="E87" s="202" t="str">
        <f>IFERROR(VLOOKUP(Table3[[#This Row],[KELAS]],Q:X,2,FALSE),"")</f>
        <v/>
      </c>
      <c r="F87" s="202" t="str">
        <f>IFERROR(VLOOKUP(Table3[[#This Row],[KELAS]],Q:X,3,FALSE),"")</f>
        <v/>
      </c>
      <c r="G87" s="202" t="str">
        <f>IFERROR(VLOOKUP(Table3[[#This Row],[KELAS]],Q:X,4,FALSE),"")</f>
        <v/>
      </c>
      <c r="H87" s="202" t="str">
        <f>IFERROR(VLOOKUP(Table3[[#This Row],[KELAS]],Q:X,5,FALSE),"")</f>
        <v/>
      </c>
      <c r="I87" s="202" t="str">
        <f>IFERROR(VLOOKUP(Table3[[#This Row],[KELAS]],Q:X,6,FALSE),"")</f>
        <v/>
      </c>
      <c r="J87" s="203"/>
      <c r="K87" s="204">
        <f>SUM(Table3[[#This Row],[PENDAFT.]:[SPP*]])</f>
        <v>0</v>
      </c>
      <c r="L87" s="203"/>
      <c r="M87" s="205">
        <f>Table3[[#This Row],[TOTAL]]-Table3[[#This Row],[DISKON*]]</f>
        <v>0</v>
      </c>
    </row>
    <row r="88" spans="1:13">
      <c r="A88" s="166">
        <v>82</v>
      </c>
      <c r="B88" s="156"/>
      <c r="C88" s="219"/>
      <c r="D88" s="154"/>
      <c r="E88" s="202" t="str">
        <f>IFERROR(VLOOKUP(Table3[[#This Row],[KELAS]],Q:X,2,FALSE),"")</f>
        <v/>
      </c>
      <c r="F88" s="202" t="str">
        <f>IFERROR(VLOOKUP(Table3[[#This Row],[KELAS]],Q:X,3,FALSE),"")</f>
        <v/>
      </c>
      <c r="G88" s="202" t="str">
        <f>IFERROR(VLOOKUP(Table3[[#This Row],[KELAS]],Q:X,4,FALSE),"")</f>
        <v/>
      </c>
      <c r="H88" s="202" t="str">
        <f>IFERROR(VLOOKUP(Table3[[#This Row],[KELAS]],Q:X,5,FALSE),"")</f>
        <v/>
      </c>
      <c r="I88" s="202" t="str">
        <f>IFERROR(VLOOKUP(Table3[[#This Row],[KELAS]],Q:X,6,FALSE),"")</f>
        <v/>
      </c>
      <c r="J88" s="203"/>
      <c r="K88" s="204">
        <f>SUM(Table3[[#This Row],[PENDAFT.]:[SPP*]])</f>
        <v>0</v>
      </c>
      <c r="L88" s="203"/>
      <c r="M88" s="205">
        <f>Table3[[#This Row],[TOTAL]]-Table3[[#This Row],[DISKON*]]</f>
        <v>0</v>
      </c>
    </row>
    <row r="89" spans="1:13">
      <c r="A89" s="166">
        <v>83</v>
      </c>
      <c r="B89" s="156"/>
      <c r="C89" s="219"/>
      <c r="D89" s="154"/>
      <c r="E89" s="202" t="str">
        <f>IFERROR(VLOOKUP(Table3[[#This Row],[KELAS]],Q:X,2,FALSE),"")</f>
        <v/>
      </c>
      <c r="F89" s="202" t="str">
        <f>IFERROR(VLOOKUP(Table3[[#This Row],[KELAS]],Q:X,3,FALSE),"")</f>
        <v/>
      </c>
      <c r="G89" s="202" t="str">
        <f>IFERROR(VLOOKUP(Table3[[#This Row],[KELAS]],Q:X,4,FALSE),"")</f>
        <v/>
      </c>
      <c r="H89" s="202" t="str">
        <f>IFERROR(VLOOKUP(Table3[[#This Row],[KELAS]],Q:X,5,FALSE),"")</f>
        <v/>
      </c>
      <c r="I89" s="202" t="str">
        <f>IFERROR(VLOOKUP(Table3[[#This Row],[KELAS]],Q:X,6,FALSE),"")</f>
        <v/>
      </c>
      <c r="J89" s="203"/>
      <c r="K89" s="204">
        <f>SUM(Table3[[#This Row],[PENDAFT.]:[SPP*]])</f>
        <v>0</v>
      </c>
      <c r="L89" s="203"/>
      <c r="M89" s="205">
        <f>Table3[[#This Row],[TOTAL]]-Table3[[#This Row],[DISKON*]]</f>
        <v>0</v>
      </c>
    </row>
    <row r="90" spans="1:13">
      <c r="A90" s="166">
        <v>84</v>
      </c>
      <c r="B90" s="156"/>
      <c r="C90" s="219"/>
      <c r="D90" s="154"/>
      <c r="E90" s="202" t="str">
        <f>IFERROR(VLOOKUP(Table3[[#This Row],[KELAS]],Q:X,2,FALSE),"")</f>
        <v/>
      </c>
      <c r="F90" s="202" t="str">
        <f>IFERROR(VLOOKUP(Table3[[#This Row],[KELAS]],Q:X,3,FALSE),"")</f>
        <v/>
      </c>
      <c r="G90" s="202" t="str">
        <f>IFERROR(VLOOKUP(Table3[[#This Row],[KELAS]],Q:X,4,FALSE),"")</f>
        <v/>
      </c>
      <c r="H90" s="202" t="str">
        <f>IFERROR(VLOOKUP(Table3[[#This Row],[KELAS]],Q:X,5,FALSE),"")</f>
        <v/>
      </c>
      <c r="I90" s="202" t="str">
        <f>IFERROR(VLOOKUP(Table3[[#This Row],[KELAS]],Q:X,6,FALSE),"")</f>
        <v/>
      </c>
      <c r="J90" s="203"/>
      <c r="K90" s="204">
        <f>SUM(Table3[[#This Row],[PENDAFT.]:[SPP*]])</f>
        <v>0</v>
      </c>
      <c r="L90" s="203"/>
      <c r="M90" s="205">
        <f>Table3[[#This Row],[TOTAL]]-Table3[[#This Row],[DISKON*]]</f>
        <v>0</v>
      </c>
    </row>
    <row r="91" spans="1:13">
      <c r="A91" s="166">
        <v>85</v>
      </c>
      <c r="B91" s="156"/>
      <c r="C91" s="219"/>
      <c r="D91" s="154"/>
      <c r="E91" s="202" t="str">
        <f>IFERROR(VLOOKUP(Table3[[#This Row],[KELAS]],Q:X,2,FALSE),"")</f>
        <v/>
      </c>
      <c r="F91" s="202" t="str">
        <f>IFERROR(VLOOKUP(Table3[[#This Row],[KELAS]],Q:X,3,FALSE),"")</f>
        <v/>
      </c>
      <c r="G91" s="202" t="str">
        <f>IFERROR(VLOOKUP(Table3[[#This Row],[KELAS]],Q:X,4,FALSE),"")</f>
        <v/>
      </c>
      <c r="H91" s="202" t="str">
        <f>IFERROR(VLOOKUP(Table3[[#This Row],[KELAS]],Q:X,5,FALSE),"")</f>
        <v/>
      </c>
      <c r="I91" s="202" t="str">
        <f>IFERROR(VLOOKUP(Table3[[#This Row],[KELAS]],Q:X,6,FALSE),"")</f>
        <v/>
      </c>
      <c r="J91" s="203"/>
      <c r="K91" s="204">
        <f>SUM(Table3[[#This Row],[PENDAFT.]:[SPP*]])</f>
        <v>0</v>
      </c>
      <c r="L91" s="203"/>
      <c r="M91" s="205">
        <f>Table3[[#This Row],[TOTAL]]-Table3[[#This Row],[DISKON*]]</f>
        <v>0</v>
      </c>
    </row>
    <row r="92" spans="1:13">
      <c r="A92" s="166">
        <v>86</v>
      </c>
      <c r="B92" s="156"/>
      <c r="C92" s="219"/>
      <c r="D92" s="154"/>
      <c r="E92" s="202" t="str">
        <f>IFERROR(VLOOKUP(Table3[[#This Row],[KELAS]],Q:X,2,FALSE),"")</f>
        <v/>
      </c>
      <c r="F92" s="202" t="str">
        <f>IFERROR(VLOOKUP(Table3[[#This Row],[KELAS]],Q:X,3,FALSE),"")</f>
        <v/>
      </c>
      <c r="G92" s="202" t="str">
        <f>IFERROR(VLOOKUP(Table3[[#This Row],[KELAS]],Q:X,4,FALSE),"")</f>
        <v/>
      </c>
      <c r="H92" s="202" t="str">
        <f>IFERROR(VLOOKUP(Table3[[#This Row],[KELAS]],Q:X,5,FALSE),"")</f>
        <v/>
      </c>
      <c r="I92" s="202" t="str">
        <f>IFERROR(VLOOKUP(Table3[[#This Row],[KELAS]],Q:X,6,FALSE),"")</f>
        <v/>
      </c>
      <c r="J92" s="203"/>
      <c r="K92" s="204">
        <f>SUM(Table3[[#This Row],[PENDAFT.]:[SPP*]])</f>
        <v>0</v>
      </c>
      <c r="L92" s="203"/>
      <c r="M92" s="205">
        <f>Table3[[#This Row],[TOTAL]]-Table3[[#This Row],[DISKON*]]</f>
        <v>0</v>
      </c>
    </row>
    <row r="93" spans="1:13">
      <c r="A93" s="166">
        <v>87</v>
      </c>
      <c r="B93" s="156"/>
      <c r="C93" s="219"/>
      <c r="D93" s="154"/>
      <c r="E93" s="202" t="str">
        <f>IFERROR(VLOOKUP(Table3[[#This Row],[KELAS]],Q:X,2,FALSE),"")</f>
        <v/>
      </c>
      <c r="F93" s="202" t="str">
        <f>IFERROR(VLOOKUP(Table3[[#This Row],[KELAS]],Q:X,3,FALSE),"")</f>
        <v/>
      </c>
      <c r="G93" s="202" t="str">
        <f>IFERROR(VLOOKUP(Table3[[#This Row],[KELAS]],Q:X,4,FALSE),"")</f>
        <v/>
      </c>
      <c r="H93" s="202" t="str">
        <f>IFERROR(VLOOKUP(Table3[[#This Row],[KELAS]],Q:X,5,FALSE),"")</f>
        <v/>
      </c>
      <c r="I93" s="202" t="str">
        <f>IFERROR(VLOOKUP(Table3[[#This Row],[KELAS]],Q:X,6,FALSE),"")</f>
        <v/>
      </c>
      <c r="J93" s="203"/>
      <c r="K93" s="204">
        <f>SUM(Table3[[#This Row],[PENDAFT.]:[SPP*]])</f>
        <v>0</v>
      </c>
      <c r="L93" s="203"/>
      <c r="M93" s="205">
        <f>Table3[[#This Row],[TOTAL]]-Table3[[#This Row],[DISKON*]]</f>
        <v>0</v>
      </c>
    </row>
    <row r="94" spans="1:13">
      <c r="A94" s="166">
        <v>88</v>
      </c>
      <c r="B94" s="156"/>
      <c r="C94" s="219"/>
      <c r="D94" s="154"/>
      <c r="E94" s="202" t="str">
        <f>IFERROR(VLOOKUP(Table3[[#This Row],[KELAS]],Q:X,2,FALSE),"")</f>
        <v/>
      </c>
      <c r="F94" s="202" t="str">
        <f>IFERROR(VLOOKUP(Table3[[#This Row],[KELAS]],Q:X,3,FALSE),"")</f>
        <v/>
      </c>
      <c r="G94" s="202" t="str">
        <f>IFERROR(VLOOKUP(Table3[[#This Row],[KELAS]],Q:X,4,FALSE),"")</f>
        <v/>
      </c>
      <c r="H94" s="202" t="str">
        <f>IFERROR(VLOOKUP(Table3[[#This Row],[KELAS]],Q:X,5,FALSE),"")</f>
        <v/>
      </c>
      <c r="I94" s="202" t="str">
        <f>IFERROR(VLOOKUP(Table3[[#This Row],[KELAS]],Q:X,6,FALSE),"")</f>
        <v/>
      </c>
      <c r="J94" s="203"/>
      <c r="K94" s="204">
        <f>SUM(Table3[[#This Row],[PENDAFT.]:[SPP*]])</f>
        <v>0</v>
      </c>
      <c r="L94" s="203"/>
      <c r="M94" s="205">
        <f>Table3[[#This Row],[TOTAL]]-Table3[[#This Row],[DISKON*]]</f>
        <v>0</v>
      </c>
    </row>
    <row r="95" spans="1:13">
      <c r="A95" s="166">
        <v>89</v>
      </c>
      <c r="B95" s="156"/>
      <c r="C95" s="219"/>
      <c r="D95" s="154"/>
      <c r="E95" s="202" t="str">
        <f>IFERROR(VLOOKUP(Table3[[#This Row],[KELAS]],Q:X,2,FALSE),"")</f>
        <v/>
      </c>
      <c r="F95" s="202" t="str">
        <f>IFERROR(VLOOKUP(Table3[[#This Row],[KELAS]],Q:X,3,FALSE),"")</f>
        <v/>
      </c>
      <c r="G95" s="202" t="str">
        <f>IFERROR(VLOOKUP(Table3[[#This Row],[KELAS]],Q:X,4,FALSE),"")</f>
        <v/>
      </c>
      <c r="H95" s="202" t="str">
        <f>IFERROR(VLOOKUP(Table3[[#This Row],[KELAS]],Q:X,5,FALSE),"")</f>
        <v/>
      </c>
      <c r="I95" s="202" t="str">
        <f>IFERROR(VLOOKUP(Table3[[#This Row],[KELAS]],Q:X,6,FALSE),"")</f>
        <v/>
      </c>
      <c r="J95" s="203"/>
      <c r="K95" s="204">
        <f>SUM(Table3[[#This Row],[PENDAFT.]:[SPP*]])</f>
        <v>0</v>
      </c>
      <c r="L95" s="203"/>
      <c r="M95" s="205">
        <f>Table3[[#This Row],[TOTAL]]-Table3[[#This Row],[DISKON*]]</f>
        <v>0</v>
      </c>
    </row>
    <row r="96" spans="1:13">
      <c r="A96" s="166">
        <v>90</v>
      </c>
      <c r="B96" s="156"/>
      <c r="C96" s="219"/>
      <c r="D96" s="154"/>
      <c r="E96" s="202" t="str">
        <f>IFERROR(VLOOKUP(Table3[[#This Row],[KELAS]],Q:X,2,FALSE),"")</f>
        <v/>
      </c>
      <c r="F96" s="202" t="str">
        <f>IFERROR(VLOOKUP(Table3[[#This Row],[KELAS]],Q:X,3,FALSE),"")</f>
        <v/>
      </c>
      <c r="G96" s="202" t="str">
        <f>IFERROR(VLOOKUP(Table3[[#This Row],[KELAS]],Q:X,4,FALSE),"")</f>
        <v/>
      </c>
      <c r="H96" s="202" t="str">
        <f>IFERROR(VLOOKUP(Table3[[#This Row],[KELAS]],Q:X,5,FALSE),"")</f>
        <v/>
      </c>
      <c r="I96" s="202" t="str">
        <f>IFERROR(VLOOKUP(Table3[[#This Row],[KELAS]],Q:X,6,FALSE),"")</f>
        <v/>
      </c>
      <c r="J96" s="203"/>
      <c r="K96" s="204">
        <f>SUM(Table3[[#This Row],[PENDAFT.]:[SPP*]])</f>
        <v>0</v>
      </c>
      <c r="L96" s="203"/>
      <c r="M96" s="205">
        <f>Table3[[#This Row],[TOTAL]]-Table3[[#This Row],[DISKON*]]</f>
        <v>0</v>
      </c>
    </row>
    <row r="97" spans="1:13">
      <c r="A97" s="166"/>
      <c r="B97" s="156"/>
      <c r="C97" s="219"/>
      <c r="D97" s="154"/>
      <c r="E97" s="202" t="str">
        <f>IFERROR(VLOOKUP(Table3[[#This Row],[KELAS]],Q:X,2,FALSE),"")</f>
        <v/>
      </c>
      <c r="F97" s="202" t="str">
        <f>IFERROR(VLOOKUP(Table3[[#This Row],[KELAS]],Q:X,3,FALSE),"")</f>
        <v/>
      </c>
      <c r="G97" s="202" t="str">
        <f>IFERROR(VLOOKUP(Table3[[#This Row],[KELAS]],Q:X,4,FALSE),"")</f>
        <v/>
      </c>
      <c r="H97" s="202" t="str">
        <f>IFERROR(VLOOKUP(Table3[[#This Row],[KELAS]],Q:X,5,FALSE),"")</f>
        <v/>
      </c>
      <c r="I97" s="202" t="str">
        <f>IFERROR(VLOOKUP(Table3[[#This Row],[KELAS]],Q:X,6,FALSE),"")</f>
        <v/>
      </c>
      <c r="J97" s="203"/>
      <c r="K97" s="204">
        <f>SUM(Table3[[#This Row],[PENDAFT.]:[SPP*]])</f>
        <v>0</v>
      </c>
      <c r="L97" s="203"/>
      <c r="M97" s="205">
        <f>Table3[[#This Row],[TOTAL]]-Table3[[#This Row],[DISKON*]]</f>
        <v>0</v>
      </c>
    </row>
    <row r="98" spans="1:13">
      <c r="A98" s="166"/>
      <c r="B98" s="156"/>
      <c r="C98" s="219"/>
      <c r="D98" s="154"/>
      <c r="E98" s="202" t="str">
        <f>IFERROR(VLOOKUP(Table3[[#This Row],[KELAS]],Q:X,2,FALSE),"")</f>
        <v/>
      </c>
      <c r="F98" s="202" t="str">
        <f>IFERROR(VLOOKUP(Table3[[#This Row],[KELAS]],Q:X,3,FALSE),"")</f>
        <v/>
      </c>
      <c r="G98" s="202" t="str">
        <f>IFERROR(VLOOKUP(Table3[[#This Row],[KELAS]],Q:X,4,FALSE),"")</f>
        <v/>
      </c>
      <c r="H98" s="202" t="str">
        <f>IFERROR(VLOOKUP(Table3[[#This Row],[KELAS]],Q:X,5,FALSE),"")</f>
        <v/>
      </c>
      <c r="I98" s="202" t="str">
        <f>IFERROR(VLOOKUP(Table3[[#This Row],[KELAS]],Q:X,6,FALSE),"")</f>
        <v/>
      </c>
      <c r="J98" s="203"/>
      <c r="K98" s="204">
        <f>SUM(Table3[[#This Row],[PENDAFT.]:[SPP*]])</f>
        <v>0</v>
      </c>
      <c r="L98" s="203"/>
      <c r="M98" s="205">
        <f>Table3[[#This Row],[TOTAL]]-Table3[[#This Row],[DISKON*]]</f>
        <v>0</v>
      </c>
    </row>
    <row r="99" spans="1:13">
      <c r="A99" s="166"/>
      <c r="B99" s="156"/>
      <c r="C99" s="219"/>
      <c r="D99" s="154"/>
      <c r="E99" s="202" t="str">
        <f>IFERROR(VLOOKUP(Table3[[#This Row],[KELAS]],Q:X,2,FALSE),"")</f>
        <v/>
      </c>
      <c r="F99" s="202" t="str">
        <f>IFERROR(VLOOKUP(Table3[[#This Row],[KELAS]],Q:X,3,FALSE),"")</f>
        <v/>
      </c>
      <c r="G99" s="202" t="str">
        <f>IFERROR(VLOOKUP(Table3[[#This Row],[KELAS]],Q:X,4,FALSE),"")</f>
        <v/>
      </c>
      <c r="H99" s="202" t="str">
        <f>IFERROR(VLOOKUP(Table3[[#This Row],[KELAS]],Q:X,5,FALSE),"")</f>
        <v/>
      </c>
      <c r="I99" s="202" t="str">
        <f>IFERROR(VLOOKUP(Table3[[#This Row],[KELAS]],Q:X,6,FALSE),"")</f>
        <v/>
      </c>
      <c r="J99" s="203"/>
      <c r="K99" s="204">
        <f>SUM(Table3[[#This Row],[PENDAFT.]:[SPP*]])</f>
        <v>0</v>
      </c>
      <c r="L99" s="203"/>
      <c r="M99" s="205">
        <f>Table3[[#This Row],[TOTAL]]-Table3[[#This Row],[DISKON*]]</f>
        <v>0</v>
      </c>
    </row>
    <row r="100" spans="1:13">
      <c r="A100" s="166"/>
      <c r="B100" s="156"/>
      <c r="C100" s="219"/>
      <c r="D100" s="154"/>
      <c r="E100" s="202" t="str">
        <f>IFERROR(VLOOKUP(Table3[[#This Row],[KELAS]],Q:X,2,FALSE),"")</f>
        <v/>
      </c>
      <c r="F100" s="202" t="str">
        <f>IFERROR(VLOOKUP(Table3[[#This Row],[KELAS]],Q:X,3,FALSE),"")</f>
        <v/>
      </c>
      <c r="G100" s="202" t="str">
        <f>IFERROR(VLOOKUP(Table3[[#This Row],[KELAS]],Q:X,4,FALSE),"")</f>
        <v/>
      </c>
      <c r="H100" s="202" t="str">
        <f>IFERROR(VLOOKUP(Table3[[#This Row],[KELAS]],Q:X,5,FALSE),"")</f>
        <v/>
      </c>
      <c r="I100" s="202" t="str">
        <f>IFERROR(VLOOKUP(Table3[[#This Row],[KELAS]],Q:X,6,FALSE),"")</f>
        <v/>
      </c>
      <c r="J100" s="203"/>
      <c r="K100" s="204">
        <f>SUM(Table3[[#This Row],[PENDAFT.]:[SPP*]])</f>
        <v>0</v>
      </c>
      <c r="L100" s="203"/>
      <c r="M100" s="205">
        <f>Table3[[#This Row],[TOTAL]]-Table3[[#This Row],[DISKON*]]</f>
        <v>0</v>
      </c>
    </row>
    <row r="101" spans="1:13">
      <c r="A101" s="166"/>
      <c r="B101" s="156"/>
      <c r="C101" s="219"/>
      <c r="D101" s="154"/>
      <c r="E101" s="202" t="str">
        <f>IFERROR(VLOOKUP(Table3[[#This Row],[KELAS]],Q:X,2,FALSE),"")</f>
        <v/>
      </c>
      <c r="F101" s="202" t="str">
        <f>IFERROR(VLOOKUP(Table3[[#This Row],[KELAS]],Q:X,3,FALSE),"")</f>
        <v/>
      </c>
      <c r="G101" s="202" t="str">
        <f>IFERROR(VLOOKUP(Table3[[#This Row],[KELAS]],Q:X,4,FALSE),"")</f>
        <v/>
      </c>
      <c r="H101" s="202" t="str">
        <f>IFERROR(VLOOKUP(Table3[[#This Row],[KELAS]],Q:X,5,FALSE),"")</f>
        <v/>
      </c>
      <c r="I101" s="202" t="str">
        <f>IFERROR(VLOOKUP(Table3[[#This Row],[KELAS]],Q:X,6,FALSE),"")</f>
        <v/>
      </c>
      <c r="J101" s="203"/>
      <c r="K101" s="204">
        <f>SUM(Table3[[#This Row],[PENDAFT.]:[SPP*]])</f>
        <v>0</v>
      </c>
      <c r="L101" s="203"/>
      <c r="M101" s="205">
        <f>Table3[[#This Row],[TOTAL]]-Table3[[#This Row],[DISKON*]]</f>
        <v>0</v>
      </c>
    </row>
    <row r="102" spans="1:13">
      <c r="A102" s="166"/>
      <c r="B102" s="156"/>
      <c r="C102" s="219"/>
      <c r="D102" s="154"/>
      <c r="E102" s="202" t="str">
        <f>IFERROR(VLOOKUP(Table3[[#This Row],[KELAS]],Q:X,2,FALSE),"")</f>
        <v/>
      </c>
      <c r="F102" s="202" t="str">
        <f>IFERROR(VLOOKUP(Table3[[#This Row],[KELAS]],Q:X,3,FALSE),"")</f>
        <v/>
      </c>
      <c r="G102" s="202" t="str">
        <f>IFERROR(VLOOKUP(Table3[[#This Row],[KELAS]],Q:X,4,FALSE),"")</f>
        <v/>
      </c>
      <c r="H102" s="202" t="str">
        <f>IFERROR(VLOOKUP(Table3[[#This Row],[KELAS]],Q:X,5,FALSE),"")</f>
        <v/>
      </c>
      <c r="I102" s="202" t="str">
        <f>IFERROR(VLOOKUP(Table3[[#This Row],[KELAS]],Q:X,6,FALSE),"")</f>
        <v/>
      </c>
      <c r="J102" s="203"/>
      <c r="K102" s="204">
        <f>SUM(Table3[[#This Row],[PENDAFT.]:[SPP*]])</f>
        <v>0</v>
      </c>
      <c r="L102" s="203"/>
      <c r="M102" s="205">
        <f>Table3[[#This Row],[TOTAL]]-Table3[[#This Row],[DISKON*]]</f>
        <v>0</v>
      </c>
    </row>
    <row r="103" spans="1:13">
      <c r="A103" s="166"/>
      <c r="B103" s="156"/>
      <c r="C103" s="219"/>
      <c r="D103" s="154"/>
      <c r="E103" s="202" t="str">
        <f>IFERROR(VLOOKUP(Table3[[#This Row],[KELAS]],Q:X,2,FALSE),"")</f>
        <v/>
      </c>
      <c r="F103" s="202" t="str">
        <f>IFERROR(VLOOKUP(Table3[[#This Row],[KELAS]],Q:X,3,FALSE),"")</f>
        <v/>
      </c>
      <c r="G103" s="202" t="str">
        <f>IFERROR(VLOOKUP(Table3[[#This Row],[KELAS]],Q:X,4,FALSE),"")</f>
        <v/>
      </c>
      <c r="H103" s="202" t="str">
        <f>IFERROR(VLOOKUP(Table3[[#This Row],[KELAS]],Q:X,5,FALSE),"")</f>
        <v/>
      </c>
      <c r="I103" s="202" t="str">
        <f>IFERROR(VLOOKUP(Table3[[#This Row],[KELAS]],Q:X,6,FALSE),"")</f>
        <v/>
      </c>
      <c r="J103" s="203"/>
      <c r="K103" s="204">
        <f>SUM(Table3[[#This Row],[PENDAFT.]:[SPP*]])</f>
        <v>0</v>
      </c>
      <c r="L103" s="203"/>
      <c r="M103" s="205">
        <f>Table3[[#This Row],[TOTAL]]-Table3[[#This Row],[DISKON*]]</f>
        <v>0</v>
      </c>
    </row>
    <row r="104" spans="1:13">
      <c r="A104" s="166"/>
      <c r="B104" s="156"/>
      <c r="C104" s="219"/>
      <c r="D104" s="154"/>
      <c r="E104" s="202" t="str">
        <f>IFERROR(VLOOKUP(Table3[[#This Row],[KELAS]],Q:X,2,FALSE),"")</f>
        <v/>
      </c>
      <c r="F104" s="202" t="str">
        <f>IFERROR(VLOOKUP(Table3[[#This Row],[KELAS]],Q:X,3,FALSE),"")</f>
        <v/>
      </c>
      <c r="G104" s="202" t="str">
        <f>IFERROR(VLOOKUP(Table3[[#This Row],[KELAS]],Q:X,4,FALSE),"")</f>
        <v/>
      </c>
      <c r="H104" s="202" t="str">
        <f>IFERROR(VLOOKUP(Table3[[#This Row],[KELAS]],Q:X,5,FALSE),"")</f>
        <v/>
      </c>
      <c r="I104" s="202" t="str">
        <f>IFERROR(VLOOKUP(Table3[[#This Row],[KELAS]],Q:X,6,FALSE),"")</f>
        <v/>
      </c>
      <c r="J104" s="203"/>
      <c r="K104" s="204">
        <f>SUM(Table3[[#This Row],[PENDAFT.]:[SPP*]])</f>
        <v>0</v>
      </c>
      <c r="L104" s="203"/>
      <c r="M104" s="205">
        <f>Table3[[#This Row],[TOTAL]]-Table3[[#This Row],[DISKON*]]</f>
        <v>0</v>
      </c>
    </row>
    <row r="105" spans="1:13">
      <c r="A105" s="166"/>
      <c r="B105" s="156"/>
      <c r="C105" s="219"/>
      <c r="D105" s="154"/>
      <c r="E105" s="202" t="str">
        <f>IFERROR(VLOOKUP(Table3[[#This Row],[KELAS]],Q:X,2,FALSE),"")</f>
        <v/>
      </c>
      <c r="F105" s="202" t="str">
        <f>IFERROR(VLOOKUP(Table3[[#This Row],[KELAS]],Q:X,3,FALSE),"")</f>
        <v/>
      </c>
      <c r="G105" s="202" t="str">
        <f>IFERROR(VLOOKUP(Table3[[#This Row],[KELAS]],Q:X,4,FALSE),"")</f>
        <v/>
      </c>
      <c r="H105" s="202" t="str">
        <f>IFERROR(VLOOKUP(Table3[[#This Row],[KELAS]],Q:X,5,FALSE),"")</f>
        <v/>
      </c>
      <c r="I105" s="202" t="str">
        <f>IFERROR(VLOOKUP(Table3[[#This Row],[KELAS]],Q:X,6,FALSE),"")</f>
        <v/>
      </c>
      <c r="J105" s="203"/>
      <c r="K105" s="204">
        <f>SUM(Table3[[#This Row],[PENDAFT.]:[SPP*]])</f>
        <v>0</v>
      </c>
      <c r="L105" s="203"/>
      <c r="M105" s="205">
        <f>Table3[[#This Row],[TOTAL]]-Table3[[#This Row],[DISKON*]]</f>
        <v>0</v>
      </c>
    </row>
    <row r="106" spans="1:13">
      <c r="A106" s="166"/>
      <c r="B106" s="156"/>
      <c r="C106" s="219"/>
      <c r="D106" s="154"/>
      <c r="E106" s="202" t="str">
        <f>IFERROR(VLOOKUP(Table3[[#This Row],[KELAS]],Q:X,2,FALSE),"")</f>
        <v/>
      </c>
      <c r="F106" s="202" t="str">
        <f>IFERROR(VLOOKUP(Table3[[#This Row],[KELAS]],Q:X,3,FALSE),"")</f>
        <v/>
      </c>
      <c r="G106" s="202" t="str">
        <f>IFERROR(VLOOKUP(Table3[[#This Row],[KELAS]],Q:X,4,FALSE),"")</f>
        <v/>
      </c>
      <c r="H106" s="202" t="str">
        <f>IFERROR(VLOOKUP(Table3[[#This Row],[KELAS]],Q:X,5,FALSE),"")</f>
        <v/>
      </c>
      <c r="I106" s="202" t="str">
        <f>IFERROR(VLOOKUP(Table3[[#This Row],[KELAS]],Q:X,6,FALSE),"")</f>
        <v/>
      </c>
      <c r="J106" s="203"/>
      <c r="K106" s="204">
        <f>SUM(Table3[[#This Row],[PENDAFT.]:[SPP*]])</f>
        <v>0</v>
      </c>
      <c r="L106" s="203"/>
      <c r="M106" s="205">
        <f>Table3[[#This Row],[TOTAL]]-Table3[[#This Row],[DISKON*]]</f>
        <v>0</v>
      </c>
    </row>
    <row r="107" spans="1:13">
      <c r="A107" s="166"/>
      <c r="B107" s="156"/>
      <c r="C107" s="219"/>
      <c r="D107" s="154"/>
      <c r="E107" s="202" t="str">
        <f>IFERROR(VLOOKUP(Table3[[#This Row],[KELAS]],Q:X,2,FALSE),"")</f>
        <v/>
      </c>
      <c r="F107" s="202" t="str">
        <f>IFERROR(VLOOKUP(Table3[[#This Row],[KELAS]],Q:X,3,FALSE),"")</f>
        <v/>
      </c>
      <c r="G107" s="202" t="str">
        <f>IFERROR(VLOOKUP(Table3[[#This Row],[KELAS]],Q:X,4,FALSE),"")</f>
        <v/>
      </c>
      <c r="H107" s="202" t="str">
        <f>IFERROR(VLOOKUP(Table3[[#This Row],[KELAS]],Q:X,5,FALSE),"")</f>
        <v/>
      </c>
      <c r="I107" s="202" t="str">
        <f>IFERROR(VLOOKUP(Table3[[#This Row],[KELAS]],Q:X,6,FALSE),"")</f>
        <v/>
      </c>
      <c r="J107" s="203"/>
      <c r="K107" s="204">
        <f>SUM(Table3[[#This Row],[PENDAFT.]:[SPP*]])</f>
        <v>0</v>
      </c>
      <c r="L107" s="203"/>
      <c r="M107" s="205">
        <f>Table3[[#This Row],[TOTAL]]-Table3[[#This Row],[DISKON*]]</f>
        <v>0</v>
      </c>
    </row>
    <row r="108" spans="1:13">
      <c r="A108" s="166"/>
      <c r="B108" s="156"/>
      <c r="C108" s="219"/>
      <c r="D108" s="154"/>
      <c r="E108" s="202" t="str">
        <f>IFERROR(VLOOKUP(Table3[[#This Row],[KELAS]],Q:X,2,FALSE),"")</f>
        <v/>
      </c>
      <c r="F108" s="202" t="str">
        <f>IFERROR(VLOOKUP(Table3[[#This Row],[KELAS]],Q:X,3,FALSE),"")</f>
        <v/>
      </c>
      <c r="G108" s="202" t="str">
        <f>IFERROR(VLOOKUP(Table3[[#This Row],[KELAS]],Q:X,4,FALSE),"")</f>
        <v/>
      </c>
      <c r="H108" s="202" t="str">
        <f>IFERROR(VLOOKUP(Table3[[#This Row],[KELAS]],Q:X,5,FALSE),"")</f>
        <v/>
      </c>
      <c r="I108" s="202" t="str">
        <f>IFERROR(VLOOKUP(Table3[[#This Row],[KELAS]],Q:X,6,FALSE),"")</f>
        <v/>
      </c>
      <c r="J108" s="203"/>
      <c r="K108" s="204">
        <f>SUM(Table3[[#This Row],[PENDAFT.]:[SPP*]])</f>
        <v>0</v>
      </c>
      <c r="L108" s="203"/>
      <c r="M108" s="205">
        <f>Table3[[#This Row],[TOTAL]]-Table3[[#This Row],[DISKON*]]</f>
        <v>0</v>
      </c>
    </row>
    <row r="109" spans="1:13">
      <c r="A109" s="166"/>
      <c r="B109" s="156"/>
      <c r="C109" s="219"/>
      <c r="D109" s="154"/>
      <c r="E109" s="202" t="str">
        <f>IFERROR(VLOOKUP(Table3[[#This Row],[KELAS]],Q:X,2,FALSE),"")</f>
        <v/>
      </c>
      <c r="F109" s="202" t="str">
        <f>IFERROR(VLOOKUP(Table3[[#This Row],[KELAS]],Q:X,3,FALSE),"")</f>
        <v/>
      </c>
      <c r="G109" s="202" t="str">
        <f>IFERROR(VLOOKUP(Table3[[#This Row],[KELAS]],Q:X,4,FALSE),"")</f>
        <v/>
      </c>
      <c r="H109" s="202" t="str">
        <f>IFERROR(VLOOKUP(Table3[[#This Row],[KELAS]],Q:X,5,FALSE),"")</f>
        <v/>
      </c>
      <c r="I109" s="202" t="str">
        <f>IFERROR(VLOOKUP(Table3[[#This Row],[KELAS]],Q:X,6,FALSE),"")</f>
        <v/>
      </c>
      <c r="J109" s="203"/>
      <c r="K109" s="204">
        <f>SUM(Table3[[#This Row],[PENDAFT.]:[SPP*]])</f>
        <v>0</v>
      </c>
      <c r="L109" s="203"/>
      <c r="M109" s="205">
        <f>Table3[[#This Row],[TOTAL]]-Table3[[#This Row],[DISKON*]]</f>
        <v>0</v>
      </c>
    </row>
    <row r="110" spans="1:13" s="175" customFormat="1">
      <c r="A110" s="223"/>
      <c r="B110" s="224"/>
      <c r="C110" s="225"/>
      <c r="D110" s="226"/>
      <c r="E110" s="227">
        <f>SUBTOTAL(109,E7:E109)</f>
        <v>0</v>
      </c>
      <c r="F110" s="227">
        <f t="shared" ref="F110:I110" si="0">SUBTOTAL(109,F7:F109)</f>
        <v>0</v>
      </c>
      <c r="G110" s="227">
        <f t="shared" si="0"/>
        <v>0</v>
      </c>
      <c r="H110" s="227">
        <f t="shared" si="0"/>
        <v>0</v>
      </c>
      <c r="I110" s="227">
        <f t="shared" si="0"/>
        <v>0</v>
      </c>
      <c r="J110" s="227">
        <f>SUBTOTAL(109,J7:J109)</f>
        <v>0</v>
      </c>
      <c r="K110" s="227">
        <f t="shared" ref="K110:M110" si="1">SUBTOTAL(109,K7:K109)</f>
        <v>0</v>
      </c>
      <c r="L110" s="227">
        <f t="shared" si="1"/>
        <v>0</v>
      </c>
      <c r="M110" s="227">
        <f t="shared" si="1"/>
        <v>0</v>
      </c>
    </row>
  </sheetData>
  <mergeCells count="4">
    <mergeCell ref="O6:O7"/>
    <mergeCell ref="P6:P7"/>
    <mergeCell ref="Q6:Q7"/>
    <mergeCell ref="X6:X7"/>
  </mergeCells>
  <dataValidations count="1">
    <dataValidation type="list" allowBlank="1" showInputMessage="1" showErrorMessage="1" sqref="D7:D110">
      <formula1>$Q$8:$Q$9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scale="39" orientation="landscape" horizontalDpi="4294967293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</sheetPr>
  <dimension ref="A1:AG117"/>
  <sheetViews>
    <sheetView showGridLines="0" topLeftCell="A5" zoomScaleSheetLayoutView="92" workbookViewId="0">
      <pane xSplit="3" ySplit="4" topLeftCell="G9" activePane="bottomRight" state="frozen"/>
      <selection activeCell="A5" sqref="A5"/>
      <selection pane="topRight" activeCell="D5" sqref="D5"/>
      <selection pane="bottomLeft" activeCell="A9" sqref="A9"/>
      <selection pane="bottomRight" activeCell="F9" sqref="F9:S78"/>
    </sheetView>
  </sheetViews>
  <sheetFormatPr defaultRowHeight="12.75"/>
  <cols>
    <col min="1" max="1" width="4.5703125" style="16" bestFit="1" customWidth="1"/>
    <col min="2" max="2" width="2.5703125" style="16" hidden="1" customWidth="1"/>
    <col min="3" max="3" width="34.85546875" style="16" bestFit="1" customWidth="1"/>
    <col min="4" max="4" width="7.140625" style="16" bestFit="1" customWidth="1"/>
    <col min="5" max="5" width="12.28515625" style="170" bestFit="1" customWidth="1"/>
    <col min="6" max="6" width="11.7109375" style="170" bestFit="1" customWidth="1"/>
    <col min="7" max="7" width="8.28515625" style="171" bestFit="1" customWidth="1"/>
    <col min="8" max="8" width="13.5703125" style="196" customWidth="1"/>
    <col min="9" max="9" width="7.28515625" style="195" customWidth="1"/>
    <col min="10" max="10" width="13" style="16" customWidth="1"/>
    <col min="11" max="11" width="8.28515625" style="195" bestFit="1" customWidth="1"/>
    <col min="12" max="12" width="13.28515625" style="196" customWidth="1"/>
    <col min="13" max="13" width="7.85546875" style="195" customWidth="1"/>
    <col min="14" max="14" width="12.5703125" style="16" customWidth="1"/>
    <col min="15" max="15" width="8" style="195" customWidth="1"/>
    <col min="16" max="16" width="11.28515625" style="196" customWidth="1"/>
    <col min="17" max="17" width="8.28515625" style="195" bestFit="1" customWidth="1"/>
    <col min="18" max="18" width="9.85546875" style="170" bestFit="1" customWidth="1"/>
    <col min="19" max="19" width="8.28515625" style="171" bestFit="1" customWidth="1"/>
    <col min="20" max="20" width="11.7109375" style="196" customWidth="1"/>
    <col min="21" max="21" width="11.7109375" style="195" customWidth="1"/>
    <col min="22" max="22" width="11.7109375" style="196" customWidth="1"/>
    <col min="23" max="23" width="11.7109375" style="195" customWidth="1"/>
    <col min="24" max="24" width="11.7109375" style="196" customWidth="1"/>
    <col min="25" max="25" width="11.7109375" style="195" customWidth="1"/>
    <col min="26" max="26" width="11.7109375" style="196" customWidth="1"/>
    <col min="27" max="27" width="11.7109375" style="195" customWidth="1"/>
    <col min="28" max="28" width="15.140625" style="170" customWidth="1"/>
    <col min="29" max="29" width="12.28515625" style="170" bestFit="1" customWidth="1"/>
    <col min="30" max="30" width="8.28515625" style="170" bestFit="1" customWidth="1"/>
    <col min="31" max="31" width="9.140625" style="170"/>
    <col min="32" max="16384" width="9.140625" style="16"/>
  </cols>
  <sheetData>
    <row r="1" spans="1:31" ht="15.75">
      <c r="A1" s="432" t="s">
        <v>110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</row>
    <row r="2" spans="1:31" ht="15.75">
      <c r="A2" s="432" t="str">
        <f>"AL MADEENA ISLAMIC SCHOOL "&amp; Cover!A5</f>
        <v>AL MADEENA ISLAMIC SCHOOL TAHUN AJARAN 2021 - 2022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  <c r="AA2" s="432"/>
      <c r="AB2" s="432"/>
      <c r="AC2" s="432"/>
      <c r="AD2" s="432"/>
    </row>
    <row r="3" spans="1:31" ht="15.75">
      <c r="A3" s="432" t="str">
        <f>Cover!A7</f>
        <v>PERIODE JULI 2022</v>
      </c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</row>
    <row r="4" spans="1:31">
      <c r="A4" s="70"/>
      <c r="B4" s="70"/>
      <c r="C4" s="70"/>
      <c r="D4" s="70"/>
      <c r="E4" s="70"/>
      <c r="F4" s="70"/>
      <c r="G4" s="167"/>
      <c r="H4" s="70"/>
      <c r="I4" s="167"/>
      <c r="J4" s="70"/>
      <c r="K4" s="167"/>
      <c r="L4" s="70"/>
      <c r="M4" s="167"/>
      <c r="N4" s="70"/>
      <c r="O4" s="167"/>
      <c r="P4" s="70"/>
      <c r="Q4" s="167"/>
      <c r="R4" s="168"/>
      <c r="S4" s="169"/>
      <c r="T4" s="70"/>
      <c r="U4" s="167"/>
      <c r="V4" s="70"/>
      <c r="W4" s="167"/>
      <c r="X4" s="70"/>
      <c r="Y4" s="167"/>
      <c r="Z4" s="70"/>
      <c r="AA4" s="167"/>
      <c r="AB4" s="70"/>
      <c r="AC4" s="70"/>
      <c r="AD4" s="70"/>
    </row>
    <row r="5" spans="1:31">
      <c r="A5" s="71"/>
      <c r="B5" s="71"/>
      <c r="C5" s="71"/>
      <c r="D5" s="71"/>
      <c r="H5" s="172"/>
      <c r="I5" s="173"/>
      <c r="J5" s="174"/>
      <c r="K5" s="173"/>
      <c r="L5" s="172"/>
      <c r="M5" s="173"/>
      <c r="N5" s="174"/>
      <c r="O5" s="173"/>
      <c r="P5" s="172"/>
      <c r="Q5" s="173"/>
      <c r="T5" s="172"/>
      <c r="U5" s="173"/>
      <c r="V5" s="172"/>
      <c r="W5" s="173"/>
      <c r="X5" s="172"/>
      <c r="Y5" s="173"/>
      <c r="Z5" s="172"/>
      <c r="AA5" s="173"/>
    </row>
    <row r="6" spans="1:31" s="175" customFormat="1" ht="12.75" customHeight="1">
      <c r="A6" s="433" t="s">
        <v>27</v>
      </c>
      <c r="B6" s="436" t="s">
        <v>129</v>
      </c>
      <c r="C6" s="433" t="s">
        <v>100</v>
      </c>
      <c r="D6" s="433" t="s">
        <v>101</v>
      </c>
      <c r="E6" s="440" t="s">
        <v>102</v>
      </c>
      <c r="F6" s="430" t="s">
        <v>125</v>
      </c>
      <c r="G6" s="443"/>
      <c r="H6" s="430"/>
      <c r="I6" s="443"/>
      <c r="J6" s="430"/>
      <c r="K6" s="443"/>
      <c r="L6" s="430"/>
      <c r="M6" s="443"/>
      <c r="N6" s="430"/>
      <c r="O6" s="443"/>
      <c r="P6" s="430"/>
      <c r="Q6" s="430"/>
      <c r="R6" s="430"/>
      <c r="S6" s="430"/>
      <c r="T6" s="430"/>
      <c r="U6" s="430"/>
      <c r="V6" s="430"/>
      <c r="W6" s="430"/>
      <c r="X6" s="430"/>
      <c r="Y6" s="430"/>
      <c r="Z6" s="430"/>
      <c r="AA6" s="430"/>
      <c r="AB6" s="437" t="s">
        <v>119</v>
      </c>
      <c r="AC6" s="440" t="s">
        <v>103</v>
      </c>
      <c r="AD6" s="440" t="s">
        <v>131</v>
      </c>
      <c r="AE6" s="298"/>
    </row>
    <row r="7" spans="1:31" s="175" customFormat="1" ht="12.75" customHeight="1">
      <c r="A7" s="434"/>
      <c r="B7" s="436"/>
      <c r="C7" s="434"/>
      <c r="D7" s="434"/>
      <c r="E7" s="441"/>
      <c r="F7" s="430" t="s">
        <v>176</v>
      </c>
      <c r="G7" s="430"/>
      <c r="H7" s="430" t="s">
        <v>138</v>
      </c>
      <c r="I7" s="430"/>
      <c r="J7" s="431" t="s">
        <v>139</v>
      </c>
      <c r="K7" s="431"/>
      <c r="L7" s="429" t="s">
        <v>140</v>
      </c>
      <c r="M7" s="429"/>
      <c r="N7" s="429" t="s">
        <v>141</v>
      </c>
      <c r="O7" s="429"/>
      <c r="P7" s="429" t="s">
        <v>132</v>
      </c>
      <c r="Q7" s="429"/>
      <c r="R7" s="429" t="s">
        <v>133</v>
      </c>
      <c r="S7" s="429"/>
      <c r="T7" s="429" t="s">
        <v>134</v>
      </c>
      <c r="U7" s="429"/>
      <c r="V7" s="429" t="s">
        <v>135</v>
      </c>
      <c r="W7" s="429"/>
      <c r="X7" s="429" t="s">
        <v>136</v>
      </c>
      <c r="Y7" s="429"/>
      <c r="Z7" s="429" t="s">
        <v>137</v>
      </c>
      <c r="AA7" s="429"/>
      <c r="AB7" s="438"/>
      <c r="AC7" s="441"/>
      <c r="AD7" s="441"/>
      <c r="AE7" s="298"/>
    </row>
    <row r="8" spans="1:31" s="175" customFormat="1">
      <c r="A8" s="435"/>
      <c r="B8" s="436"/>
      <c r="C8" s="435"/>
      <c r="D8" s="435"/>
      <c r="E8" s="442"/>
      <c r="F8" s="176" t="s">
        <v>90</v>
      </c>
      <c r="G8" s="177" t="s">
        <v>85</v>
      </c>
      <c r="H8" s="176" t="s">
        <v>90</v>
      </c>
      <c r="I8" s="177" t="s">
        <v>85</v>
      </c>
      <c r="J8" s="176" t="s">
        <v>90</v>
      </c>
      <c r="K8" s="177" t="s">
        <v>85</v>
      </c>
      <c r="L8" s="176" t="s">
        <v>90</v>
      </c>
      <c r="M8" s="177" t="s">
        <v>85</v>
      </c>
      <c r="N8" s="176" t="s">
        <v>90</v>
      </c>
      <c r="O8" s="177" t="s">
        <v>85</v>
      </c>
      <c r="P8" s="176" t="s">
        <v>90</v>
      </c>
      <c r="Q8" s="178" t="s">
        <v>85</v>
      </c>
      <c r="R8" s="176" t="s">
        <v>90</v>
      </c>
      <c r="S8" s="178" t="s">
        <v>85</v>
      </c>
      <c r="T8" s="176" t="s">
        <v>90</v>
      </c>
      <c r="U8" s="178" t="s">
        <v>85</v>
      </c>
      <c r="V8" s="179" t="s">
        <v>90</v>
      </c>
      <c r="W8" s="178" t="s">
        <v>85</v>
      </c>
      <c r="X8" s="179" t="s">
        <v>90</v>
      </c>
      <c r="Y8" s="178" t="s">
        <v>85</v>
      </c>
      <c r="Z8" s="179" t="s">
        <v>90</v>
      </c>
      <c r="AA8" s="178" t="s">
        <v>85</v>
      </c>
      <c r="AB8" s="439"/>
      <c r="AC8" s="442"/>
      <c r="AD8" s="442"/>
      <c r="AE8" s="298"/>
    </row>
    <row r="9" spans="1:31" s="389" customFormat="1">
      <c r="A9" s="378">
        <v>1</v>
      </c>
      <c r="B9" s="395"/>
      <c r="C9" s="390">
        <f>IFERROR('Biaya Siswa'!B7,"")</f>
        <v>0</v>
      </c>
      <c r="D9" s="381" t="str">
        <f>IFERROR(VLOOKUP(C9,'Biaya Siswa'!B:M,3,FALSE),"")</f>
        <v/>
      </c>
      <c r="E9" s="382" t="str">
        <f>IFERROR(VLOOKUP(C9,'Biaya Siswa'!B:M,12,FALSE),"")</f>
        <v/>
      </c>
      <c r="F9" s="382"/>
      <c r="G9" s="384"/>
      <c r="H9" s="382"/>
      <c r="I9" s="384"/>
      <c r="J9" s="382"/>
      <c r="K9" s="384"/>
      <c r="L9" s="382"/>
      <c r="M9" s="384"/>
      <c r="N9" s="382"/>
      <c r="O9" s="384"/>
      <c r="P9" s="382"/>
      <c r="Q9" s="384"/>
      <c r="R9" s="383"/>
      <c r="S9" s="385"/>
      <c r="T9" s="386"/>
      <c r="U9" s="385"/>
      <c r="V9" s="386"/>
      <c r="W9" s="385"/>
      <c r="X9" s="386"/>
      <c r="Y9" s="385"/>
      <c r="Z9" s="386"/>
      <c r="AA9" s="385"/>
      <c r="AB9" s="383">
        <f>F9+H9+J9+L9+N9+P9+R9+T9+V9+X9+Z9</f>
        <v>0</v>
      </c>
      <c r="AC9" s="383" t="str">
        <f>IFERROR(E9-AB9,"")</f>
        <v/>
      </c>
      <c r="AD9" s="383"/>
      <c r="AE9" s="388"/>
    </row>
    <row r="10" spans="1:31">
      <c r="A10" s="267">
        <v>2</v>
      </c>
      <c r="B10" s="268"/>
      <c r="C10" s="268">
        <f>IFERROR('Biaya Siswa'!B8,"")</f>
        <v>0</v>
      </c>
      <c r="D10" s="269" t="str">
        <f>IFERROR(VLOOKUP(C10,'Biaya Siswa'!B:M,3,FALSE),"")</f>
        <v/>
      </c>
      <c r="E10" s="270" t="str">
        <f>IFERROR(VLOOKUP(C10,'Biaya Siswa'!B:M,12,FALSE),"")</f>
        <v/>
      </c>
      <c r="F10" s="270"/>
      <c r="G10" s="271"/>
      <c r="H10" s="270"/>
      <c r="I10" s="271"/>
      <c r="J10" s="270"/>
      <c r="K10" s="271"/>
      <c r="L10" s="270"/>
      <c r="M10" s="271"/>
      <c r="N10" s="270"/>
      <c r="O10" s="271"/>
      <c r="P10" s="270"/>
      <c r="Q10" s="271"/>
      <c r="R10" s="272"/>
      <c r="S10" s="273"/>
      <c r="T10" s="274"/>
      <c r="U10" s="273"/>
      <c r="V10" s="274"/>
      <c r="W10" s="273"/>
      <c r="X10" s="274"/>
      <c r="Y10" s="273"/>
      <c r="Z10" s="274"/>
      <c r="AA10" s="273"/>
      <c r="AB10" s="272">
        <f t="shared" ref="AB10:AB64" si="0">F10+H10+J10+L10+N10+P10+R10+T10+V10+X10+Z10</f>
        <v>0</v>
      </c>
      <c r="AC10" s="272" t="str">
        <f t="shared" ref="AC10:AC64" si="1">IFERROR(E10-AB10,"")</f>
        <v/>
      </c>
      <c r="AD10" s="272"/>
    </row>
    <row r="11" spans="1:31">
      <c r="A11" s="267">
        <v>3</v>
      </c>
      <c r="B11" s="268"/>
      <c r="C11" s="268">
        <f>IFERROR('Biaya Siswa'!B9,"")</f>
        <v>0</v>
      </c>
      <c r="D11" s="269" t="str">
        <f>IFERROR(VLOOKUP(C11,'Biaya Siswa'!B:M,3,FALSE),"")</f>
        <v/>
      </c>
      <c r="E11" s="270" t="str">
        <f>IFERROR(VLOOKUP(C11,'Biaya Siswa'!B:M,12,FALSE),"")</f>
        <v/>
      </c>
      <c r="F11" s="270"/>
      <c r="G11" s="271"/>
      <c r="H11" s="270"/>
      <c r="I11" s="271"/>
      <c r="J11" s="270"/>
      <c r="K11" s="271"/>
      <c r="L11" s="270"/>
      <c r="M11" s="271"/>
      <c r="N11" s="270"/>
      <c r="O11" s="271"/>
      <c r="P11" s="270"/>
      <c r="Q11" s="271"/>
      <c r="R11" s="272"/>
      <c r="S11" s="273"/>
      <c r="T11" s="274"/>
      <c r="U11" s="273"/>
      <c r="V11" s="274"/>
      <c r="W11" s="273"/>
      <c r="X11" s="274"/>
      <c r="Y11" s="273"/>
      <c r="Z11" s="274"/>
      <c r="AA11" s="273"/>
      <c r="AB11" s="272">
        <f t="shared" si="0"/>
        <v>0</v>
      </c>
      <c r="AC11" s="272" t="str">
        <f t="shared" si="1"/>
        <v/>
      </c>
      <c r="AD11" s="272"/>
    </row>
    <row r="12" spans="1:31" s="389" customFormat="1">
      <c r="A12" s="378">
        <v>4</v>
      </c>
      <c r="B12" s="390"/>
      <c r="C12" s="390">
        <f>IFERROR('Biaya Siswa'!B10,"")</f>
        <v>0</v>
      </c>
      <c r="D12" s="381" t="str">
        <f>IFERROR(VLOOKUP(C12,'Biaya Siswa'!B:M,3,FALSE),"")</f>
        <v/>
      </c>
      <c r="E12" s="382" t="str">
        <f>IFERROR(VLOOKUP(C12,'Biaya Siswa'!B:M,12,FALSE),"")</f>
        <v/>
      </c>
      <c r="F12" s="382"/>
      <c r="G12" s="384"/>
      <c r="H12" s="382"/>
      <c r="I12" s="384"/>
      <c r="J12" s="382"/>
      <c r="K12" s="384"/>
      <c r="L12" s="382"/>
      <c r="M12" s="384"/>
      <c r="N12" s="382"/>
      <c r="O12" s="384"/>
      <c r="P12" s="382"/>
      <c r="Q12" s="384"/>
      <c r="R12" s="383"/>
      <c r="S12" s="385"/>
      <c r="T12" s="386"/>
      <c r="U12" s="385"/>
      <c r="V12" s="386"/>
      <c r="W12" s="385"/>
      <c r="X12" s="386"/>
      <c r="Y12" s="385"/>
      <c r="Z12" s="386"/>
      <c r="AA12" s="385"/>
      <c r="AB12" s="383">
        <f t="shared" si="0"/>
        <v>0</v>
      </c>
      <c r="AC12" s="387" t="str">
        <f t="shared" si="1"/>
        <v/>
      </c>
      <c r="AD12" s="383"/>
      <c r="AE12" s="388"/>
    </row>
    <row r="13" spans="1:31" s="389" customFormat="1">
      <c r="A13" s="378">
        <v>5</v>
      </c>
      <c r="B13" s="390"/>
      <c r="C13" s="390">
        <f>IFERROR('Biaya Siswa'!B11,"")</f>
        <v>0</v>
      </c>
      <c r="D13" s="381" t="str">
        <f>IFERROR(VLOOKUP(C13,'Biaya Siswa'!B:M,3,FALSE),"")</f>
        <v/>
      </c>
      <c r="E13" s="382" t="str">
        <f>IFERROR(VLOOKUP(C13,'Biaya Siswa'!B:M,12,FALSE),"")</f>
        <v/>
      </c>
      <c r="F13" s="382"/>
      <c r="G13" s="384"/>
      <c r="H13" s="382"/>
      <c r="I13" s="384"/>
      <c r="J13" s="382"/>
      <c r="K13" s="384"/>
      <c r="L13" s="382"/>
      <c r="M13" s="384"/>
      <c r="N13" s="382"/>
      <c r="O13" s="384"/>
      <c r="P13" s="382"/>
      <c r="Q13" s="384"/>
      <c r="R13" s="383"/>
      <c r="S13" s="385"/>
      <c r="T13" s="386"/>
      <c r="U13" s="385"/>
      <c r="V13" s="386"/>
      <c r="W13" s="385"/>
      <c r="X13" s="386"/>
      <c r="Y13" s="385"/>
      <c r="Z13" s="386"/>
      <c r="AA13" s="385"/>
      <c r="AB13" s="383">
        <f t="shared" si="0"/>
        <v>0</v>
      </c>
      <c r="AC13" s="391" t="str">
        <f t="shared" si="1"/>
        <v/>
      </c>
      <c r="AD13" s="383"/>
      <c r="AE13" s="388"/>
    </row>
    <row r="14" spans="1:31">
      <c r="A14" s="377">
        <v>6</v>
      </c>
      <c r="B14" s="232"/>
      <c r="C14" s="232">
        <f>IFERROR('Biaya Siswa'!B12,"")</f>
        <v>0</v>
      </c>
      <c r="D14" s="233" t="str">
        <f>IFERROR(VLOOKUP(C14,'Biaya Siswa'!B:M,3,FALSE),"")</f>
        <v/>
      </c>
      <c r="E14" s="180" t="str">
        <f>IFERROR(VLOOKUP(C14,'Biaya Siswa'!B:M,12,FALSE),"")</f>
        <v/>
      </c>
      <c r="F14" s="181"/>
      <c r="G14" s="260"/>
      <c r="H14" s="181"/>
      <c r="I14" s="260"/>
      <c r="J14" s="181"/>
      <c r="K14" s="260"/>
      <c r="L14" s="181"/>
      <c r="M14" s="260"/>
      <c r="N14" s="181"/>
      <c r="O14" s="260"/>
      <c r="P14" s="181"/>
      <c r="Q14" s="260"/>
      <c r="R14" s="69"/>
      <c r="S14" s="197"/>
      <c r="T14" s="117"/>
      <c r="U14" s="197"/>
      <c r="V14" s="117"/>
      <c r="W14" s="197"/>
      <c r="X14" s="117"/>
      <c r="Y14" s="197"/>
      <c r="Z14" s="117"/>
      <c r="AA14" s="197"/>
      <c r="AB14" s="69">
        <f t="shared" si="0"/>
        <v>0</v>
      </c>
      <c r="AC14" s="374" t="str">
        <f t="shared" si="1"/>
        <v/>
      </c>
      <c r="AD14" s="69"/>
    </row>
    <row r="15" spans="1:31">
      <c r="A15" s="377">
        <v>7</v>
      </c>
      <c r="B15" s="232"/>
      <c r="C15" s="232">
        <f>IFERROR('Biaya Siswa'!B13,"")</f>
        <v>0</v>
      </c>
      <c r="D15" s="233" t="str">
        <f>IFERROR(VLOOKUP(C15,'Biaya Siswa'!B:M,3,FALSE),"")</f>
        <v/>
      </c>
      <c r="E15" s="180" t="str">
        <f>IFERROR(VLOOKUP(C15,'Biaya Siswa'!B:M,12,FALSE),"")</f>
        <v/>
      </c>
      <c r="F15" s="181"/>
      <c r="G15" s="260"/>
      <c r="H15" s="181"/>
      <c r="I15" s="260"/>
      <c r="J15" s="181"/>
      <c r="K15" s="260"/>
      <c r="L15" s="181"/>
      <c r="M15" s="260"/>
      <c r="N15" s="181"/>
      <c r="O15" s="260"/>
      <c r="P15" s="181"/>
      <c r="Q15" s="260"/>
      <c r="R15" s="69"/>
      <c r="S15" s="197"/>
      <c r="T15" s="117"/>
      <c r="U15" s="197"/>
      <c r="V15" s="117"/>
      <c r="W15" s="197"/>
      <c r="X15" s="117"/>
      <c r="Y15" s="197"/>
      <c r="Z15" s="117"/>
      <c r="AA15" s="197"/>
      <c r="AB15" s="69">
        <f t="shared" si="0"/>
        <v>0</v>
      </c>
      <c r="AC15" s="374" t="str">
        <f t="shared" si="1"/>
        <v/>
      </c>
      <c r="AD15" s="69"/>
    </row>
    <row r="16" spans="1:31">
      <c r="A16" s="267">
        <v>8</v>
      </c>
      <c r="B16" s="268"/>
      <c r="C16" s="268">
        <f>IFERROR('Biaya Siswa'!B14,"")</f>
        <v>0</v>
      </c>
      <c r="D16" s="269" t="str">
        <f>IFERROR(VLOOKUP(C16,'Biaya Siswa'!B:M,3,FALSE),"")</f>
        <v/>
      </c>
      <c r="E16" s="270" t="str">
        <f>IFERROR(VLOOKUP(C16,'Biaya Siswa'!B:M,12,FALSE),"")</f>
        <v/>
      </c>
      <c r="F16" s="270"/>
      <c r="G16" s="271"/>
      <c r="H16" s="270"/>
      <c r="I16" s="271"/>
      <c r="J16" s="270"/>
      <c r="K16" s="271"/>
      <c r="L16" s="270"/>
      <c r="M16" s="271"/>
      <c r="N16" s="270"/>
      <c r="O16" s="271"/>
      <c r="P16" s="270"/>
      <c r="Q16" s="271"/>
      <c r="R16" s="272"/>
      <c r="S16" s="273"/>
      <c r="T16" s="274"/>
      <c r="U16" s="273"/>
      <c r="V16" s="274"/>
      <c r="W16" s="273"/>
      <c r="X16" s="274"/>
      <c r="Y16" s="273"/>
      <c r="Z16" s="274"/>
      <c r="AA16" s="273"/>
      <c r="AB16" s="272">
        <f t="shared" si="0"/>
        <v>0</v>
      </c>
      <c r="AC16" s="373" t="str">
        <f t="shared" si="1"/>
        <v/>
      </c>
      <c r="AD16" s="272"/>
    </row>
    <row r="17" spans="1:31">
      <c r="A17" s="267">
        <v>9</v>
      </c>
      <c r="B17" s="268"/>
      <c r="C17" s="268">
        <f>IFERROR('Biaya Siswa'!B15,"")</f>
        <v>0</v>
      </c>
      <c r="D17" s="269" t="str">
        <f>IFERROR(VLOOKUP(C17,'Biaya Siswa'!B:M,3,FALSE),"")</f>
        <v/>
      </c>
      <c r="E17" s="270" t="str">
        <f>IFERROR(VLOOKUP(C17,'Biaya Siswa'!B:M,12,FALSE),"")</f>
        <v/>
      </c>
      <c r="F17" s="270"/>
      <c r="G17" s="271"/>
      <c r="H17" s="270"/>
      <c r="I17" s="271"/>
      <c r="J17" s="270"/>
      <c r="K17" s="271"/>
      <c r="L17" s="270"/>
      <c r="M17" s="271"/>
      <c r="N17" s="270"/>
      <c r="O17" s="271"/>
      <c r="P17" s="270"/>
      <c r="Q17" s="271"/>
      <c r="R17" s="276"/>
      <c r="S17" s="273"/>
      <c r="T17" s="277"/>
      <c r="U17" s="273"/>
      <c r="V17" s="277"/>
      <c r="W17" s="273"/>
      <c r="X17" s="277"/>
      <c r="Y17" s="273"/>
      <c r="Z17" s="277"/>
      <c r="AA17" s="273"/>
      <c r="AB17" s="272">
        <f t="shared" si="0"/>
        <v>0</v>
      </c>
      <c r="AC17" s="373" t="str">
        <f t="shared" si="1"/>
        <v/>
      </c>
      <c r="AD17" s="272"/>
    </row>
    <row r="18" spans="1:31">
      <c r="A18" s="267">
        <v>10</v>
      </c>
      <c r="B18" s="268"/>
      <c r="C18" s="268">
        <f>IFERROR('Biaya Siswa'!B18,"")</f>
        <v>0</v>
      </c>
      <c r="D18" s="269" t="str">
        <f>IFERROR(VLOOKUP(C18,'Biaya Siswa'!B:M,3,FALSE),"")</f>
        <v/>
      </c>
      <c r="E18" s="270" t="str">
        <f>IFERROR(VLOOKUP(C18,'Biaya Siswa'!B:M,12,FALSE),"")</f>
        <v/>
      </c>
      <c r="F18" s="270"/>
      <c r="G18" s="271"/>
      <c r="H18" s="270"/>
      <c r="I18" s="271"/>
      <c r="J18" s="270"/>
      <c r="K18" s="271"/>
      <c r="L18" s="270"/>
      <c r="M18" s="271"/>
      <c r="N18" s="270"/>
      <c r="O18" s="271"/>
      <c r="P18" s="270"/>
      <c r="Q18" s="271"/>
      <c r="R18" s="272"/>
      <c r="S18" s="273"/>
      <c r="T18" s="274"/>
      <c r="U18" s="273"/>
      <c r="V18" s="274"/>
      <c r="W18" s="273"/>
      <c r="X18" s="274"/>
      <c r="Y18" s="273"/>
      <c r="Z18" s="274"/>
      <c r="AA18" s="273"/>
      <c r="AB18" s="272">
        <f t="shared" si="0"/>
        <v>0</v>
      </c>
      <c r="AC18" s="373" t="str">
        <f t="shared" si="1"/>
        <v/>
      </c>
      <c r="AD18" s="272"/>
    </row>
    <row r="19" spans="1:31">
      <c r="A19" s="377">
        <v>11</v>
      </c>
      <c r="B19" s="232"/>
      <c r="C19" s="232">
        <f>IFERROR('Biaya Siswa'!B19,"")</f>
        <v>0</v>
      </c>
      <c r="D19" s="233" t="str">
        <f>IFERROR(VLOOKUP(C19,'Biaya Siswa'!B:M,3,FALSE),"")</f>
        <v/>
      </c>
      <c r="E19" s="180" t="str">
        <f>IFERROR(VLOOKUP(C19,'Biaya Siswa'!B:M,12,FALSE),"")</f>
        <v/>
      </c>
      <c r="F19" s="181"/>
      <c r="G19" s="260"/>
      <c r="H19" s="181"/>
      <c r="I19" s="260"/>
      <c r="J19" s="181"/>
      <c r="K19" s="260"/>
      <c r="L19" s="181"/>
      <c r="M19" s="260"/>
      <c r="N19" s="181"/>
      <c r="O19" s="260"/>
      <c r="P19" s="181"/>
      <c r="Q19" s="260"/>
      <c r="R19" s="69"/>
      <c r="S19" s="197"/>
      <c r="T19" s="117"/>
      <c r="U19" s="197"/>
      <c r="V19" s="117"/>
      <c r="W19" s="197"/>
      <c r="X19" s="117"/>
      <c r="Y19" s="197"/>
      <c r="Z19" s="117"/>
      <c r="AA19" s="197"/>
      <c r="AB19" s="69">
        <f t="shared" si="0"/>
        <v>0</v>
      </c>
      <c r="AC19" s="374" t="str">
        <f t="shared" si="1"/>
        <v/>
      </c>
      <c r="AD19" s="69"/>
    </row>
    <row r="20" spans="1:31" s="389" customFormat="1">
      <c r="A20" s="378">
        <v>12</v>
      </c>
      <c r="B20" s="379"/>
      <c r="C20" s="390">
        <f>IFERROR('Biaya Siswa'!B20,"")</f>
        <v>0</v>
      </c>
      <c r="D20" s="381" t="str">
        <f>IFERROR(VLOOKUP(C20,'Biaya Siswa'!B:M,3,FALSE),"")</f>
        <v/>
      </c>
      <c r="E20" s="382" t="str">
        <f>IFERROR(VLOOKUP(C20,'Biaya Siswa'!B:M,12,FALSE),"")</f>
        <v/>
      </c>
      <c r="F20" s="382"/>
      <c r="G20" s="384"/>
      <c r="H20" s="382"/>
      <c r="I20" s="384"/>
      <c r="J20" s="382"/>
      <c r="K20" s="384"/>
      <c r="L20" s="382"/>
      <c r="M20" s="384"/>
      <c r="N20" s="382"/>
      <c r="O20" s="384"/>
      <c r="P20" s="382"/>
      <c r="Q20" s="384"/>
      <c r="R20" s="383"/>
      <c r="S20" s="385"/>
      <c r="T20" s="386"/>
      <c r="U20" s="385"/>
      <c r="V20" s="386"/>
      <c r="W20" s="385"/>
      <c r="X20" s="386"/>
      <c r="Y20" s="385"/>
      <c r="Z20" s="386"/>
      <c r="AA20" s="385"/>
      <c r="AB20" s="383">
        <f t="shared" si="0"/>
        <v>0</v>
      </c>
      <c r="AC20" s="391" t="str">
        <f t="shared" si="1"/>
        <v/>
      </c>
      <c r="AD20" s="383"/>
      <c r="AE20" s="388"/>
    </row>
    <row r="21" spans="1:31">
      <c r="A21" s="267">
        <v>13</v>
      </c>
      <c r="B21" s="275"/>
      <c r="C21" s="268">
        <f>IFERROR('Biaya Siswa'!B21,"")</f>
        <v>0</v>
      </c>
      <c r="D21" s="269" t="str">
        <f>IFERROR(VLOOKUP(C21,'Biaya Siswa'!B:M,3,FALSE),"")</f>
        <v/>
      </c>
      <c r="E21" s="270" t="str">
        <f>IFERROR(VLOOKUP(C21,'Biaya Siswa'!B:M,12,FALSE),"")</f>
        <v/>
      </c>
      <c r="F21" s="270"/>
      <c r="G21" s="271"/>
      <c r="H21" s="270"/>
      <c r="I21" s="271"/>
      <c r="J21" s="270"/>
      <c r="K21" s="271"/>
      <c r="L21" s="270"/>
      <c r="M21" s="271"/>
      <c r="N21" s="270"/>
      <c r="O21" s="271"/>
      <c r="P21" s="270"/>
      <c r="Q21" s="271"/>
      <c r="R21" s="276"/>
      <c r="S21" s="273"/>
      <c r="T21" s="277"/>
      <c r="U21" s="273"/>
      <c r="V21" s="277"/>
      <c r="W21" s="273"/>
      <c r="X21" s="277"/>
      <c r="Y21" s="273"/>
      <c r="Z21" s="277"/>
      <c r="AA21" s="273"/>
      <c r="AB21" s="272">
        <f t="shared" si="0"/>
        <v>0</v>
      </c>
      <c r="AC21" s="373" t="str">
        <f t="shared" si="1"/>
        <v/>
      </c>
      <c r="AD21" s="272"/>
      <c r="AE21" s="335">
        <v>250000</v>
      </c>
    </row>
    <row r="22" spans="1:31">
      <c r="A22" s="267">
        <v>14</v>
      </c>
      <c r="B22" s="275"/>
      <c r="C22" s="268">
        <f>IFERROR('Biaya Siswa'!B22,"")</f>
        <v>0</v>
      </c>
      <c r="D22" s="269" t="str">
        <f>IFERROR(VLOOKUP(C22,'Biaya Siswa'!B:M,3,FALSE),"")</f>
        <v/>
      </c>
      <c r="E22" s="270" t="str">
        <f>IFERROR(VLOOKUP(C22,'Biaya Siswa'!B:M,12,FALSE),"")</f>
        <v/>
      </c>
      <c r="F22" s="270"/>
      <c r="G22" s="271"/>
      <c r="H22" s="270"/>
      <c r="I22" s="271"/>
      <c r="J22" s="270"/>
      <c r="K22" s="271"/>
      <c r="L22" s="270"/>
      <c r="M22" s="271"/>
      <c r="N22" s="270"/>
      <c r="O22" s="271"/>
      <c r="P22" s="270"/>
      <c r="Q22" s="271"/>
      <c r="R22" s="272"/>
      <c r="S22" s="273"/>
      <c r="T22" s="274"/>
      <c r="U22" s="273"/>
      <c r="V22" s="274"/>
      <c r="W22" s="273"/>
      <c r="X22" s="274"/>
      <c r="Y22" s="273"/>
      <c r="Z22" s="274"/>
      <c r="AA22" s="273"/>
      <c r="AB22" s="272">
        <f t="shared" si="0"/>
        <v>0</v>
      </c>
      <c r="AC22" s="373" t="str">
        <f t="shared" si="1"/>
        <v/>
      </c>
      <c r="AD22" s="272"/>
    </row>
    <row r="23" spans="1:31" s="389" customFormat="1">
      <c r="A23" s="378">
        <v>15</v>
      </c>
      <c r="B23" s="379"/>
      <c r="C23" s="390">
        <f>IFERROR('Biaya Siswa'!B23,"")</f>
        <v>0</v>
      </c>
      <c r="D23" s="381" t="str">
        <f>IFERROR(VLOOKUP(C23,'Biaya Siswa'!B:M,3,FALSE),"")</f>
        <v/>
      </c>
      <c r="E23" s="382" t="str">
        <f>IFERROR(VLOOKUP(C23,'Biaya Siswa'!B:M,12,FALSE),"")</f>
        <v/>
      </c>
      <c r="F23" s="382"/>
      <c r="G23" s="384"/>
      <c r="H23" s="382"/>
      <c r="I23" s="384"/>
      <c r="J23" s="382"/>
      <c r="K23" s="384"/>
      <c r="L23" s="382"/>
      <c r="M23" s="384"/>
      <c r="N23" s="382"/>
      <c r="O23" s="384"/>
      <c r="P23" s="382"/>
      <c r="Q23" s="384"/>
      <c r="R23" s="383"/>
      <c r="S23" s="385"/>
      <c r="T23" s="386"/>
      <c r="U23" s="385"/>
      <c r="V23" s="386"/>
      <c r="W23" s="385"/>
      <c r="X23" s="386"/>
      <c r="Y23" s="385"/>
      <c r="Z23" s="386"/>
      <c r="AA23" s="385"/>
      <c r="AB23" s="383">
        <f t="shared" si="0"/>
        <v>0</v>
      </c>
      <c r="AC23" s="391" t="str">
        <f t="shared" si="1"/>
        <v/>
      </c>
      <c r="AD23" s="383"/>
      <c r="AE23" s="388"/>
    </row>
    <row r="24" spans="1:31">
      <c r="A24" s="267">
        <v>16</v>
      </c>
      <c r="B24" s="275"/>
      <c r="C24" s="268">
        <f>IFERROR('Biaya Siswa'!B24,"")</f>
        <v>0</v>
      </c>
      <c r="D24" s="269" t="str">
        <f>IFERROR(VLOOKUP(C24,'Biaya Siswa'!B:M,3,FALSE),"")</f>
        <v/>
      </c>
      <c r="E24" s="270" t="str">
        <f>IFERROR(VLOOKUP(C24,'Biaya Siswa'!B:M,12,FALSE),"")</f>
        <v/>
      </c>
      <c r="F24" s="270"/>
      <c r="G24" s="271"/>
      <c r="H24" s="270"/>
      <c r="I24" s="271"/>
      <c r="J24" s="270"/>
      <c r="K24" s="271"/>
      <c r="L24" s="270"/>
      <c r="M24" s="271"/>
      <c r="N24" s="270"/>
      <c r="O24" s="271"/>
      <c r="P24" s="270"/>
      <c r="Q24" s="271"/>
      <c r="R24" s="272"/>
      <c r="S24" s="273"/>
      <c r="T24" s="274"/>
      <c r="U24" s="273"/>
      <c r="V24" s="274"/>
      <c r="W24" s="273"/>
      <c r="X24" s="274"/>
      <c r="Y24" s="273"/>
      <c r="Z24" s="274"/>
      <c r="AA24" s="273"/>
      <c r="AB24" s="272">
        <f t="shared" si="0"/>
        <v>0</v>
      </c>
      <c r="AC24" s="272" t="str">
        <f t="shared" si="1"/>
        <v/>
      </c>
      <c r="AD24" s="272"/>
      <c r="AE24" s="335">
        <v>50000</v>
      </c>
    </row>
    <row r="25" spans="1:31" s="389" customFormat="1">
      <c r="A25" s="378">
        <v>17</v>
      </c>
      <c r="B25" s="379"/>
      <c r="C25" s="390">
        <f>IFERROR('Biaya Siswa'!B26,"")</f>
        <v>0</v>
      </c>
      <c r="D25" s="381" t="str">
        <f>IFERROR(VLOOKUP(C25,'Biaya Siswa'!B:M,3,FALSE),"")</f>
        <v/>
      </c>
      <c r="E25" s="382" t="str">
        <f>IFERROR(VLOOKUP(C25,'Biaya Siswa'!B:M,12,FALSE),"")</f>
        <v/>
      </c>
      <c r="F25" s="382"/>
      <c r="G25" s="384"/>
      <c r="H25" s="382"/>
      <c r="I25" s="384"/>
      <c r="J25" s="382"/>
      <c r="K25" s="384"/>
      <c r="L25" s="382"/>
      <c r="M25" s="384"/>
      <c r="N25" s="382"/>
      <c r="O25" s="384"/>
      <c r="P25" s="382"/>
      <c r="Q25" s="384"/>
      <c r="R25" s="383"/>
      <c r="S25" s="385"/>
      <c r="T25" s="386"/>
      <c r="U25" s="385"/>
      <c r="V25" s="386"/>
      <c r="W25" s="385"/>
      <c r="X25" s="386"/>
      <c r="Y25" s="385"/>
      <c r="Z25" s="386"/>
      <c r="AA25" s="385"/>
      <c r="AB25" s="383">
        <f t="shared" si="0"/>
        <v>0</v>
      </c>
      <c r="AC25" s="383" t="str">
        <f t="shared" si="1"/>
        <v/>
      </c>
      <c r="AD25" s="383"/>
      <c r="AE25" s="388"/>
    </row>
    <row r="26" spans="1:31" s="389" customFormat="1">
      <c r="A26" s="378">
        <v>18</v>
      </c>
      <c r="B26" s="392"/>
      <c r="C26" s="390">
        <f>IFERROR('Biaya Siswa'!B27,"")</f>
        <v>0</v>
      </c>
      <c r="D26" s="381" t="str">
        <f>IFERROR(VLOOKUP(C26,'Biaya Siswa'!B:M,3,FALSE),"")</f>
        <v/>
      </c>
      <c r="E26" s="382" t="str">
        <f>IFERROR(VLOOKUP(C26,'Biaya Siswa'!B:M,12,FALSE),"")</f>
        <v/>
      </c>
      <c r="F26" s="382"/>
      <c r="G26" s="384"/>
      <c r="H26" s="382"/>
      <c r="I26" s="384"/>
      <c r="J26" s="382"/>
      <c r="K26" s="384"/>
      <c r="L26" s="382"/>
      <c r="M26" s="384"/>
      <c r="N26" s="382"/>
      <c r="O26" s="384"/>
      <c r="P26" s="382"/>
      <c r="Q26" s="384"/>
      <c r="R26" s="383"/>
      <c r="S26" s="385"/>
      <c r="T26" s="386"/>
      <c r="U26" s="385"/>
      <c r="V26" s="386"/>
      <c r="W26" s="385"/>
      <c r="X26" s="386"/>
      <c r="Y26" s="385"/>
      <c r="Z26" s="386"/>
      <c r="AA26" s="385"/>
      <c r="AB26" s="383">
        <f t="shared" si="0"/>
        <v>0</v>
      </c>
      <c r="AC26" s="383" t="str">
        <f t="shared" si="1"/>
        <v/>
      </c>
      <c r="AD26" s="383"/>
      <c r="AE26" s="388"/>
    </row>
    <row r="27" spans="1:31">
      <c r="A27" s="267">
        <v>19</v>
      </c>
      <c r="B27" s="275"/>
      <c r="C27" s="268">
        <f>IFERROR('Biaya Siswa'!B28,"")</f>
        <v>0</v>
      </c>
      <c r="D27" s="269" t="str">
        <f>IFERROR(VLOOKUP(C27,'Biaya Siswa'!B:M,3,FALSE),"")</f>
        <v/>
      </c>
      <c r="E27" s="270" t="str">
        <f>IFERROR(VLOOKUP(C27,'Biaya Siswa'!B:M,12,FALSE),"")</f>
        <v/>
      </c>
      <c r="F27" s="270"/>
      <c r="G27" s="271"/>
      <c r="H27" s="270"/>
      <c r="I27" s="271"/>
      <c r="J27" s="270"/>
      <c r="K27" s="271"/>
      <c r="L27" s="270"/>
      <c r="M27" s="271"/>
      <c r="N27" s="270"/>
      <c r="O27" s="271"/>
      <c r="P27" s="270"/>
      <c r="Q27" s="271"/>
      <c r="R27" s="272"/>
      <c r="S27" s="273"/>
      <c r="T27" s="274"/>
      <c r="U27" s="273"/>
      <c r="V27" s="274"/>
      <c r="W27" s="273"/>
      <c r="X27" s="274"/>
      <c r="Y27" s="273"/>
      <c r="Z27" s="274"/>
      <c r="AA27" s="273"/>
      <c r="AB27" s="272">
        <f t="shared" si="0"/>
        <v>0</v>
      </c>
      <c r="AC27" s="272" t="str">
        <f t="shared" si="1"/>
        <v/>
      </c>
      <c r="AD27" s="272"/>
    </row>
    <row r="28" spans="1:31">
      <c r="A28" s="267">
        <v>20</v>
      </c>
      <c r="B28" s="275"/>
      <c r="C28" s="268">
        <f>IFERROR('Biaya Siswa'!B29,"")</f>
        <v>0</v>
      </c>
      <c r="D28" s="269" t="str">
        <f>IFERROR(VLOOKUP(C28,'Biaya Siswa'!B:M,3,FALSE),"")</f>
        <v/>
      </c>
      <c r="E28" s="270" t="str">
        <f>IFERROR(VLOOKUP(C28,'Biaya Siswa'!B:M,12,FALSE),"")</f>
        <v/>
      </c>
      <c r="F28" s="270"/>
      <c r="G28" s="271"/>
      <c r="H28" s="270"/>
      <c r="I28" s="271"/>
      <c r="J28" s="270"/>
      <c r="K28" s="271"/>
      <c r="L28" s="270"/>
      <c r="M28" s="271"/>
      <c r="N28" s="270"/>
      <c r="O28" s="271"/>
      <c r="P28" s="270"/>
      <c r="Q28" s="271"/>
      <c r="R28" s="272"/>
      <c r="S28" s="273"/>
      <c r="T28" s="274"/>
      <c r="U28" s="273"/>
      <c r="V28" s="274"/>
      <c r="W28" s="273"/>
      <c r="X28" s="274"/>
      <c r="Y28" s="273"/>
      <c r="Z28" s="274"/>
      <c r="AA28" s="273"/>
      <c r="AB28" s="272">
        <f t="shared" si="0"/>
        <v>0</v>
      </c>
      <c r="AC28" s="272" t="str">
        <f t="shared" si="1"/>
        <v/>
      </c>
      <c r="AD28" s="272"/>
    </row>
    <row r="29" spans="1:31" s="389" customFormat="1">
      <c r="A29" s="378">
        <v>21</v>
      </c>
      <c r="B29" s="379"/>
      <c r="C29" s="390">
        <f>IFERROR('Biaya Siswa'!B30,"")</f>
        <v>0</v>
      </c>
      <c r="D29" s="381" t="str">
        <f>IFERROR(VLOOKUP(C29,'Biaya Siswa'!B:M,3,FALSE),"")</f>
        <v/>
      </c>
      <c r="E29" s="382" t="str">
        <f>IFERROR(VLOOKUP(C29,'Biaya Siswa'!B:M,12,FALSE),"")</f>
        <v/>
      </c>
      <c r="F29" s="382"/>
      <c r="G29" s="384"/>
      <c r="H29" s="382"/>
      <c r="I29" s="384"/>
      <c r="J29" s="382"/>
      <c r="K29" s="384"/>
      <c r="L29" s="382"/>
      <c r="M29" s="384"/>
      <c r="N29" s="382"/>
      <c r="O29" s="384"/>
      <c r="P29" s="382"/>
      <c r="Q29" s="384"/>
      <c r="R29" s="383"/>
      <c r="S29" s="385"/>
      <c r="T29" s="386"/>
      <c r="U29" s="385"/>
      <c r="V29" s="386"/>
      <c r="W29" s="385"/>
      <c r="X29" s="386"/>
      <c r="Y29" s="385"/>
      <c r="Z29" s="386"/>
      <c r="AA29" s="385"/>
      <c r="AB29" s="383">
        <f t="shared" si="0"/>
        <v>0</v>
      </c>
      <c r="AC29" s="387" t="str">
        <f t="shared" si="1"/>
        <v/>
      </c>
      <c r="AD29" s="383"/>
      <c r="AE29" s="388"/>
    </row>
    <row r="30" spans="1:31">
      <c r="A30" s="377">
        <v>22</v>
      </c>
      <c r="B30" s="68"/>
      <c r="C30" s="232">
        <f>IFERROR('Biaya Siswa'!B31,"")</f>
        <v>0</v>
      </c>
      <c r="D30" s="233" t="str">
        <f>IFERROR(VLOOKUP(C30,'Biaya Siswa'!B:M,3,FALSE),"")</f>
        <v/>
      </c>
      <c r="E30" s="180" t="str">
        <f>IFERROR(VLOOKUP(C30,'Biaya Siswa'!B:M,12,FALSE),"")</f>
        <v/>
      </c>
      <c r="F30" s="181"/>
      <c r="G30" s="260"/>
      <c r="H30" s="181"/>
      <c r="I30" s="260"/>
      <c r="J30" s="181"/>
      <c r="K30" s="260"/>
      <c r="L30" s="181"/>
      <c r="M30" s="260"/>
      <c r="N30" s="181"/>
      <c r="O30" s="260"/>
      <c r="P30" s="181"/>
      <c r="Q30" s="260"/>
      <c r="R30" s="69"/>
      <c r="S30" s="197"/>
      <c r="T30" s="117"/>
      <c r="U30" s="197"/>
      <c r="V30" s="117"/>
      <c r="W30" s="197"/>
      <c r="X30" s="117"/>
      <c r="Y30" s="197"/>
      <c r="Z30" s="117"/>
      <c r="AA30" s="197"/>
      <c r="AB30" s="69">
        <f t="shared" si="0"/>
        <v>0</v>
      </c>
      <c r="AC30" s="69" t="str">
        <f t="shared" si="1"/>
        <v/>
      </c>
      <c r="AD30" s="69"/>
    </row>
    <row r="31" spans="1:31">
      <c r="A31" s="267">
        <v>23</v>
      </c>
      <c r="B31" s="275"/>
      <c r="C31" s="268">
        <f>IFERROR('Biaya Siswa'!B33,"")</f>
        <v>0</v>
      </c>
      <c r="D31" s="269" t="str">
        <f>IFERROR(VLOOKUP(C31,'Biaya Siswa'!B:M,3,FALSE),"")</f>
        <v/>
      </c>
      <c r="E31" s="270" t="str">
        <f>IFERROR(VLOOKUP(C31,'Biaya Siswa'!B:M,12,FALSE),"")</f>
        <v/>
      </c>
      <c r="F31" s="270"/>
      <c r="G31" s="271"/>
      <c r="H31" s="270"/>
      <c r="I31" s="271"/>
      <c r="J31" s="270"/>
      <c r="K31" s="271"/>
      <c r="L31" s="270"/>
      <c r="M31" s="271"/>
      <c r="N31" s="270"/>
      <c r="O31" s="271"/>
      <c r="P31" s="270"/>
      <c r="Q31" s="271"/>
      <c r="R31" s="276"/>
      <c r="S31" s="273"/>
      <c r="T31" s="277"/>
      <c r="U31" s="273"/>
      <c r="V31" s="277"/>
      <c r="W31" s="273"/>
      <c r="X31" s="277"/>
      <c r="Y31" s="273"/>
      <c r="Z31" s="277"/>
      <c r="AA31" s="273"/>
      <c r="AB31" s="272">
        <f t="shared" si="0"/>
        <v>0</v>
      </c>
      <c r="AC31" s="272" t="str">
        <f t="shared" si="1"/>
        <v/>
      </c>
      <c r="AD31" s="272"/>
    </row>
    <row r="32" spans="1:31">
      <c r="A32" s="267">
        <v>24</v>
      </c>
      <c r="B32" s="275"/>
      <c r="C32" s="268">
        <f>IFERROR('Biaya Siswa'!B35,"")</f>
        <v>0</v>
      </c>
      <c r="D32" s="269" t="str">
        <f>IFERROR(VLOOKUP(C32,'Biaya Siswa'!B:M,3,FALSE),"")</f>
        <v/>
      </c>
      <c r="E32" s="270" t="str">
        <f>IFERROR(VLOOKUP(C32,'Biaya Siswa'!B:M,12,FALSE),"")</f>
        <v/>
      </c>
      <c r="F32" s="270"/>
      <c r="G32" s="271"/>
      <c r="H32" s="270"/>
      <c r="I32" s="271"/>
      <c r="J32" s="270"/>
      <c r="K32" s="271"/>
      <c r="L32" s="270"/>
      <c r="M32" s="271"/>
      <c r="N32" s="270"/>
      <c r="O32" s="271"/>
      <c r="P32" s="270"/>
      <c r="Q32" s="271"/>
      <c r="R32" s="272"/>
      <c r="S32" s="273"/>
      <c r="T32" s="274"/>
      <c r="U32" s="273"/>
      <c r="V32" s="274"/>
      <c r="W32" s="273"/>
      <c r="X32" s="274"/>
      <c r="Y32" s="273"/>
      <c r="Z32" s="274"/>
      <c r="AA32" s="273"/>
      <c r="AB32" s="272">
        <f t="shared" si="0"/>
        <v>0</v>
      </c>
      <c r="AC32" s="272" t="str">
        <f t="shared" si="1"/>
        <v/>
      </c>
      <c r="AD32" s="272"/>
    </row>
    <row r="33" spans="1:31">
      <c r="A33" s="267">
        <v>25</v>
      </c>
      <c r="B33" s="275"/>
      <c r="C33" s="268">
        <f>IFERROR('Biaya Siswa'!B37,"")</f>
        <v>0</v>
      </c>
      <c r="D33" s="269" t="str">
        <f>IFERROR(VLOOKUP(C33,'Biaya Siswa'!B:M,3,FALSE),"")</f>
        <v/>
      </c>
      <c r="E33" s="270" t="str">
        <f>IFERROR(VLOOKUP(C33,'Biaya Siswa'!B:M,12,FALSE),"")</f>
        <v/>
      </c>
      <c r="F33" s="270"/>
      <c r="G33" s="271"/>
      <c r="H33" s="270"/>
      <c r="I33" s="271"/>
      <c r="J33" s="270"/>
      <c r="K33" s="271"/>
      <c r="L33" s="270"/>
      <c r="M33" s="271"/>
      <c r="N33" s="270"/>
      <c r="O33" s="271"/>
      <c r="P33" s="270"/>
      <c r="Q33" s="271"/>
      <c r="R33" s="272"/>
      <c r="S33" s="273"/>
      <c r="T33" s="274"/>
      <c r="U33" s="273"/>
      <c r="V33" s="274"/>
      <c r="W33" s="273"/>
      <c r="X33" s="274"/>
      <c r="Y33" s="273"/>
      <c r="Z33" s="274"/>
      <c r="AA33" s="273"/>
      <c r="AB33" s="272">
        <f t="shared" si="0"/>
        <v>0</v>
      </c>
      <c r="AC33" s="272" t="str">
        <f t="shared" si="1"/>
        <v/>
      </c>
      <c r="AD33" s="272"/>
    </row>
    <row r="34" spans="1:31">
      <c r="A34" s="267">
        <v>26</v>
      </c>
      <c r="B34" s="275"/>
      <c r="C34" s="268">
        <f>IFERROR('Biaya Siswa'!B38,"")</f>
        <v>0</v>
      </c>
      <c r="D34" s="269" t="str">
        <f>IFERROR(VLOOKUP(C34,'Biaya Siswa'!B:M,3,FALSE),"")</f>
        <v/>
      </c>
      <c r="E34" s="270" t="str">
        <f>IFERROR(VLOOKUP(C34,'Biaya Siswa'!B:M,12,FALSE),"")</f>
        <v/>
      </c>
      <c r="F34" s="270"/>
      <c r="G34" s="271"/>
      <c r="H34" s="270"/>
      <c r="I34" s="271"/>
      <c r="J34" s="270"/>
      <c r="K34" s="271"/>
      <c r="L34" s="270"/>
      <c r="M34" s="271"/>
      <c r="N34" s="270"/>
      <c r="O34" s="271"/>
      <c r="P34" s="270"/>
      <c r="Q34" s="271"/>
      <c r="R34" s="272"/>
      <c r="S34" s="273"/>
      <c r="T34" s="274"/>
      <c r="U34" s="273"/>
      <c r="V34" s="274"/>
      <c r="W34" s="273"/>
      <c r="X34" s="274"/>
      <c r="Y34" s="273"/>
      <c r="Z34" s="274"/>
      <c r="AA34" s="273"/>
      <c r="AB34" s="272">
        <f t="shared" si="0"/>
        <v>0</v>
      </c>
      <c r="AC34" s="272" t="str">
        <f t="shared" si="1"/>
        <v/>
      </c>
      <c r="AD34" s="272"/>
    </row>
    <row r="35" spans="1:31">
      <c r="A35" s="267">
        <v>27</v>
      </c>
      <c r="B35" s="275"/>
      <c r="C35" s="268">
        <f>IFERROR('Biaya Siswa'!B39,"")</f>
        <v>0</v>
      </c>
      <c r="D35" s="269" t="str">
        <f>IFERROR(VLOOKUP(C35,'Biaya Siswa'!B:M,3,FALSE),"")</f>
        <v/>
      </c>
      <c r="E35" s="270" t="str">
        <f>IFERROR(VLOOKUP(C35,'Biaya Siswa'!B:M,12,FALSE),"")</f>
        <v/>
      </c>
      <c r="F35" s="270"/>
      <c r="G35" s="271"/>
      <c r="H35" s="270"/>
      <c r="I35" s="271"/>
      <c r="J35" s="270"/>
      <c r="K35" s="271"/>
      <c r="L35" s="270"/>
      <c r="M35" s="271"/>
      <c r="N35" s="270"/>
      <c r="O35" s="271"/>
      <c r="P35" s="270"/>
      <c r="Q35" s="271"/>
      <c r="R35" s="272"/>
      <c r="S35" s="273"/>
      <c r="T35" s="274"/>
      <c r="U35" s="273"/>
      <c r="V35" s="274"/>
      <c r="W35" s="273"/>
      <c r="X35" s="274"/>
      <c r="Y35" s="273"/>
      <c r="Z35" s="274"/>
      <c r="AA35" s="273"/>
      <c r="AB35" s="272">
        <f t="shared" si="0"/>
        <v>0</v>
      </c>
      <c r="AC35" s="272" t="str">
        <f>IFERROR(E35-AB35,"")</f>
        <v/>
      </c>
      <c r="AD35" s="272"/>
    </row>
    <row r="36" spans="1:31">
      <c r="A36" s="267">
        <v>28</v>
      </c>
      <c r="B36" s="349"/>
      <c r="C36" s="268">
        <f>IFERROR('Biaya Siswa'!B40,"")</f>
        <v>0</v>
      </c>
      <c r="D36" s="269" t="str">
        <f>IFERROR(VLOOKUP(C36,'Biaya Siswa'!B:M,3,FALSE),"")</f>
        <v/>
      </c>
      <c r="E36" s="270" t="str">
        <f>IFERROR(VLOOKUP(C36,'Biaya Siswa'!B:M,12,FALSE),"")</f>
        <v/>
      </c>
      <c r="F36" s="270"/>
      <c r="G36" s="271"/>
      <c r="H36" s="270"/>
      <c r="I36" s="271"/>
      <c r="J36" s="270"/>
      <c r="K36" s="271"/>
      <c r="L36" s="270"/>
      <c r="M36" s="271"/>
      <c r="N36" s="270"/>
      <c r="O36" s="271"/>
      <c r="P36" s="270"/>
      <c r="Q36" s="271"/>
      <c r="R36" s="272"/>
      <c r="S36" s="273"/>
      <c r="T36" s="274"/>
      <c r="U36" s="273"/>
      <c r="V36" s="274"/>
      <c r="W36" s="273"/>
      <c r="X36" s="274"/>
      <c r="Y36" s="273"/>
      <c r="Z36" s="274"/>
      <c r="AA36" s="273"/>
      <c r="AB36" s="272">
        <f t="shared" si="0"/>
        <v>0</v>
      </c>
      <c r="AC36" s="272" t="str">
        <f t="shared" si="1"/>
        <v/>
      </c>
      <c r="AD36" s="272"/>
    </row>
    <row r="37" spans="1:31">
      <c r="A37" s="267">
        <v>29</v>
      </c>
      <c r="B37" s="275"/>
      <c r="C37" s="278">
        <f>IFERROR('Biaya Siswa'!B41,"")</f>
        <v>0</v>
      </c>
      <c r="D37" s="269" t="str">
        <f>IFERROR(VLOOKUP(C37,'Biaya Siswa'!B:M,3,FALSE),"")</f>
        <v/>
      </c>
      <c r="E37" s="270" t="str">
        <f>IFERROR(VLOOKUP(C37,'Biaya Siswa'!B:M,12,FALSE),"")</f>
        <v/>
      </c>
      <c r="F37" s="270"/>
      <c r="G37" s="271"/>
      <c r="H37" s="270"/>
      <c r="I37" s="271"/>
      <c r="J37" s="270"/>
      <c r="K37" s="271"/>
      <c r="L37" s="270"/>
      <c r="M37" s="271"/>
      <c r="N37" s="270"/>
      <c r="O37" s="271"/>
      <c r="P37" s="270"/>
      <c r="Q37" s="271"/>
      <c r="R37" s="272"/>
      <c r="S37" s="273"/>
      <c r="T37" s="274"/>
      <c r="U37" s="273"/>
      <c r="V37" s="274"/>
      <c r="W37" s="273"/>
      <c r="X37" s="274"/>
      <c r="Y37" s="273"/>
      <c r="Z37" s="274"/>
      <c r="AA37" s="273"/>
      <c r="AB37" s="272">
        <f t="shared" si="0"/>
        <v>0</v>
      </c>
      <c r="AC37" s="272" t="str">
        <f t="shared" si="1"/>
        <v/>
      </c>
      <c r="AD37" s="272"/>
      <c r="AE37" s="335">
        <v>50000</v>
      </c>
    </row>
    <row r="38" spans="1:31">
      <c r="A38" s="377">
        <v>30</v>
      </c>
      <c r="B38" s="184"/>
      <c r="C38" s="234">
        <f>IFERROR('Biaya Siswa'!B43,"")</f>
        <v>0</v>
      </c>
      <c r="D38" s="233" t="str">
        <f>IFERROR(VLOOKUP(C38,'Biaya Siswa'!B:M,3,FALSE),"")</f>
        <v/>
      </c>
      <c r="E38" s="180" t="str">
        <f>IFERROR(VLOOKUP(C38,'Biaya Siswa'!B:M,12,FALSE),"")</f>
        <v/>
      </c>
      <c r="F38" s="182"/>
      <c r="G38" s="260"/>
      <c r="H38" s="181"/>
      <c r="I38" s="260"/>
      <c r="J38" s="181"/>
      <c r="K38" s="260"/>
      <c r="L38" s="181"/>
      <c r="M38" s="260"/>
      <c r="N38" s="181"/>
      <c r="O38" s="260"/>
      <c r="P38" s="181"/>
      <c r="Q38" s="260"/>
      <c r="R38" s="182"/>
      <c r="S38" s="197"/>
      <c r="T38" s="183"/>
      <c r="U38" s="197"/>
      <c r="V38" s="183"/>
      <c r="W38" s="197"/>
      <c r="X38" s="183"/>
      <c r="Y38" s="197"/>
      <c r="Z38" s="183"/>
      <c r="AA38" s="197"/>
      <c r="AB38" s="69">
        <f t="shared" si="0"/>
        <v>0</v>
      </c>
      <c r="AC38" s="69" t="str">
        <f t="shared" si="1"/>
        <v/>
      </c>
      <c r="AD38" s="69"/>
    </row>
    <row r="39" spans="1:31">
      <c r="A39" s="377">
        <v>31</v>
      </c>
      <c r="B39" s="184"/>
      <c r="C39" s="234">
        <f>IFERROR('Biaya Siswa'!B44,"")</f>
        <v>0</v>
      </c>
      <c r="D39" s="233" t="str">
        <f>IFERROR(VLOOKUP(C39,'Biaya Siswa'!B:M,3,FALSE),"")</f>
        <v/>
      </c>
      <c r="E39" s="180" t="str">
        <f>IFERROR(VLOOKUP(C39,'Biaya Siswa'!B:M,12,FALSE),"")</f>
        <v/>
      </c>
      <c r="F39" s="181"/>
      <c r="G39" s="260"/>
      <c r="H39" s="181"/>
      <c r="I39" s="260"/>
      <c r="J39" s="181"/>
      <c r="K39" s="260"/>
      <c r="L39" s="181"/>
      <c r="M39" s="260"/>
      <c r="N39" s="181"/>
      <c r="O39" s="260"/>
      <c r="P39" s="181"/>
      <c r="Q39" s="260"/>
      <c r="R39" s="69"/>
      <c r="S39" s="197"/>
      <c r="T39" s="117"/>
      <c r="U39" s="197"/>
      <c r="V39" s="117"/>
      <c r="W39" s="197"/>
      <c r="X39" s="117"/>
      <c r="Y39" s="197"/>
      <c r="Z39" s="117"/>
      <c r="AA39" s="197"/>
      <c r="AB39" s="69">
        <f t="shared" si="0"/>
        <v>0</v>
      </c>
      <c r="AC39" s="69" t="str">
        <f t="shared" si="1"/>
        <v/>
      </c>
      <c r="AD39" s="69"/>
    </row>
    <row r="40" spans="1:31">
      <c r="A40" s="267">
        <v>32</v>
      </c>
      <c r="B40" s="275"/>
      <c r="C40" s="278">
        <f>IFERROR('Biaya Siswa'!B45,"")</f>
        <v>0</v>
      </c>
      <c r="D40" s="269" t="str">
        <f>IFERROR(VLOOKUP(C40,'Biaya Siswa'!B:M,3,FALSE),"")</f>
        <v/>
      </c>
      <c r="E40" s="270" t="str">
        <f>IFERROR(VLOOKUP(C40,'Biaya Siswa'!B:M,12,FALSE),"")</f>
        <v/>
      </c>
      <c r="F40" s="272"/>
      <c r="G40" s="271"/>
      <c r="H40" s="270"/>
      <c r="I40" s="271"/>
      <c r="J40" s="270"/>
      <c r="K40" s="271"/>
      <c r="L40" s="270"/>
      <c r="M40" s="271"/>
      <c r="N40" s="270"/>
      <c r="O40" s="271"/>
      <c r="P40" s="270"/>
      <c r="Q40" s="271"/>
      <c r="R40" s="272"/>
      <c r="S40" s="273"/>
      <c r="T40" s="274"/>
      <c r="U40" s="273"/>
      <c r="V40" s="274"/>
      <c r="W40" s="273"/>
      <c r="X40" s="274"/>
      <c r="Y40" s="273"/>
      <c r="Z40" s="274"/>
      <c r="AA40" s="273"/>
      <c r="AB40" s="272">
        <f t="shared" si="0"/>
        <v>0</v>
      </c>
      <c r="AC40" s="272" t="str">
        <f t="shared" si="1"/>
        <v/>
      </c>
      <c r="AD40" s="272"/>
    </row>
    <row r="41" spans="1:31" s="389" customFormat="1">
      <c r="A41" s="378">
        <v>33</v>
      </c>
      <c r="B41" s="379"/>
      <c r="C41" s="380">
        <f>IFERROR('Biaya Siswa'!B46,"")</f>
        <v>0</v>
      </c>
      <c r="D41" s="381" t="str">
        <f>IFERROR(VLOOKUP(C41,'Biaya Siswa'!B:M,3,FALSE),"")</f>
        <v/>
      </c>
      <c r="E41" s="382" t="str">
        <f>IFERROR(VLOOKUP(C41,'Biaya Siswa'!B:M,12,FALSE),"")</f>
        <v/>
      </c>
      <c r="F41" s="382"/>
      <c r="G41" s="384"/>
      <c r="H41" s="382"/>
      <c r="I41" s="384"/>
      <c r="J41" s="382"/>
      <c r="K41" s="384"/>
      <c r="L41" s="382"/>
      <c r="M41" s="384"/>
      <c r="N41" s="382"/>
      <c r="O41" s="384"/>
      <c r="P41" s="382"/>
      <c r="Q41" s="384"/>
      <c r="R41" s="383"/>
      <c r="S41" s="385"/>
      <c r="T41" s="386"/>
      <c r="U41" s="385"/>
      <c r="V41" s="386"/>
      <c r="W41" s="385"/>
      <c r="X41" s="386"/>
      <c r="Y41" s="385"/>
      <c r="Z41" s="386"/>
      <c r="AA41" s="385"/>
      <c r="AB41" s="383">
        <f t="shared" si="0"/>
        <v>0</v>
      </c>
      <c r="AC41" s="383" t="str">
        <f t="shared" si="1"/>
        <v/>
      </c>
      <c r="AD41" s="383"/>
      <c r="AE41" s="388"/>
    </row>
    <row r="42" spans="1:31">
      <c r="A42" s="267">
        <v>34</v>
      </c>
      <c r="B42" s="275"/>
      <c r="C42" s="278">
        <f>IFERROR('Biaya Siswa'!B47,"")</f>
        <v>0</v>
      </c>
      <c r="D42" s="269" t="str">
        <f>IFERROR(VLOOKUP(C42,'Biaya Siswa'!B:M,3,FALSE),"")</f>
        <v/>
      </c>
      <c r="E42" s="270" t="str">
        <f>IFERROR(VLOOKUP(C42,'Biaya Siswa'!B:M,12,FALSE),"")</f>
        <v/>
      </c>
      <c r="F42" s="270"/>
      <c r="G42" s="271"/>
      <c r="H42" s="270"/>
      <c r="I42" s="271"/>
      <c r="J42" s="270"/>
      <c r="K42" s="271"/>
      <c r="L42" s="270"/>
      <c r="M42" s="271"/>
      <c r="N42" s="270"/>
      <c r="O42" s="271"/>
      <c r="P42" s="270"/>
      <c r="Q42" s="271"/>
      <c r="R42" s="272"/>
      <c r="S42" s="273"/>
      <c r="T42" s="274"/>
      <c r="U42" s="273"/>
      <c r="V42" s="274"/>
      <c r="W42" s="273"/>
      <c r="X42" s="274"/>
      <c r="Y42" s="273"/>
      <c r="Z42" s="274"/>
      <c r="AA42" s="273"/>
      <c r="AB42" s="272">
        <f t="shared" si="0"/>
        <v>0</v>
      </c>
      <c r="AC42" s="272" t="str">
        <f t="shared" si="1"/>
        <v/>
      </c>
      <c r="AD42" s="272"/>
    </row>
    <row r="43" spans="1:31" s="389" customFormat="1">
      <c r="A43" s="378">
        <v>35</v>
      </c>
      <c r="B43" s="379"/>
      <c r="C43" s="380">
        <f>IFERROR('Biaya Siswa'!B48,"")</f>
        <v>0</v>
      </c>
      <c r="D43" s="381" t="str">
        <f>IFERROR(VLOOKUP(C43,'Biaya Siswa'!B:M,3,FALSE),"")</f>
        <v/>
      </c>
      <c r="E43" s="382" t="str">
        <f>IFERROR(VLOOKUP(C43,'Biaya Siswa'!B:M,12,FALSE),"")</f>
        <v/>
      </c>
      <c r="F43" s="383"/>
      <c r="G43" s="384"/>
      <c r="H43" s="382"/>
      <c r="I43" s="384"/>
      <c r="J43" s="382"/>
      <c r="K43" s="384"/>
      <c r="L43" s="382"/>
      <c r="M43" s="384"/>
      <c r="N43" s="382"/>
      <c r="O43" s="384"/>
      <c r="P43" s="382"/>
      <c r="Q43" s="384"/>
      <c r="R43" s="383"/>
      <c r="S43" s="385"/>
      <c r="T43" s="386"/>
      <c r="U43" s="385"/>
      <c r="V43" s="386"/>
      <c r="W43" s="385"/>
      <c r="X43" s="386"/>
      <c r="Y43" s="385"/>
      <c r="Z43" s="386"/>
      <c r="AA43" s="385"/>
      <c r="AB43" s="383">
        <f t="shared" si="0"/>
        <v>0</v>
      </c>
      <c r="AC43" s="383" t="str">
        <f t="shared" si="1"/>
        <v/>
      </c>
      <c r="AD43" s="383"/>
      <c r="AE43" s="388"/>
    </row>
    <row r="44" spans="1:31" s="389" customFormat="1">
      <c r="A44" s="378">
        <v>36</v>
      </c>
      <c r="B44" s="379"/>
      <c r="C44" s="380">
        <f>IFERROR('Biaya Siswa'!B49,"")</f>
        <v>0</v>
      </c>
      <c r="D44" s="381" t="str">
        <f>IFERROR(VLOOKUP(C44,'Biaya Siswa'!B:M,3,FALSE),"")</f>
        <v/>
      </c>
      <c r="E44" s="382" t="str">
        <f>IFERROR(VLOOKUP(C44,'Biaya Siswa'!B:M,12,FALSE),"")</f>
        <v/>
      </c>
      <c r="F44" s="383"/>
      <c r="G44" s="384"/>
      <c r="H44" s="382"/>
      <c r="I44" s="384"/>
      <c r="J44" s="382"/>
      <c r="K44" s="384"/>
      <c r="L44" s="382"/>
      <c r="M44" s="384"/>
      <c r="N44" s="382"/>
      <c r="O44" s="384"/>
      <c r="P44" s="382"/>
      <c r="Q44" s="384"/>
      <c r="R44" s="383"/>
      <c r="S44" s="385"/>
      <c r="T44" s="386"/>
      <c r="U44" s="385"/>
      <c r="V44" s="386"/>
      <c r="W44" s="385"/>
      <c r="X44" s="386"/>
      <c r="Y44" s="385"/>
      <c r="Z44" s="386"/>
      <c r="AA44" s="385"/>
      <c r="AB44" s="383">
        <f t="shared" si="0"/>
        <v>0</v>
      </c>
      <c r="AC44" s="387" t="str">
        <f t="shared" si="1"/>
        <v/>
      </c>
      <c r="AD44" s="383"/>
      <c r="AE44" s="388">
        <v>10000</v>
      </c>
    </row>
    <row r="45" spans="1:31">
      <c r="A45" s="267">
        <v>37</v>
      </c>
      <c r="B45" s="275"/>
      <c r="C45" s="278">
        <f>IFERROR('Biaya Siswa'!B50,"")</f>
        <v>0</v>
      </c>
      <c r="D45" s="269" t="str">
        <f>IFERROR(VLOOKUP(C45,'Biaya Siswa'!B:M,3,FALSE),"")</f>
        <v/>
      </c>
      <c r="E45" s="270" t="str">
        <f>IFERROR(VLOOKUP(C45,'Biaya Siswa'!B:M,12,FALSE),"")</f>
        <v/>
      </c>
      <c r="F45" s="272"/>
      <c r="G45" s="271"/>
      <c r="H45" s="270"/>
      <c r="I45" s="271"/>
      <c r="J45" s="270"/>
      <c r="K45" s="271"/>
      <c r="L45" s="270"/>
      <c r="M45" s="271"/>
      <c r="N45" s="270"/>
      <c r="O45" s="271"/>
      <c r="P45" s="270"/>
      <c r="Q45" s="271"/>
      <c r="R45" s="272"/>
      <c r="S45" s="273"/>
      <c r="T45" s="274"/>
      <c r="U45" s="273"/>
      <c r="V45" s="274"/>
      <c r="W45" s="273"/>
      <c r="X45" s="274"/>
      <c r="Y45" s="273"/>
      <c r="Z45" s="274"/>
      <c r="AA45" s="273"/>
      <c r="AB45" s="272">
        <f t="shared" si="0"/>
        <v>0</v>
      </c>
      <c r="AC45" s="272" t="str">
        <f t="shared" si="1"/>
        <v/>
      </c>
      <c r="AD45" s="272"/>
    </row>
    <row r="46" spans="1:31">
      <c r="A46" s="267">
        <v>38</v>
      </c>
      <c r="B46" s="275"/>
      <c r="C46" s="278">
        <f>IFERROR('Biaya Siswa'!B51,"")</f>
        <v>0</v>
      </c>
      <c r="D46" s="269" t="str">
        <f>IFERROR(VLOOKUP(C46,'Biaya Siswa'!B:M,3,FALSE),"")</f>
        <v/>
      </c>
      <c r="E46" s="270" t="str">
        <f>IFERROR(VLOOKUP(C46,'Biaya Siswa'!B:M,12,FALSE),"")</f>
        <v/>
      </c>
      <c r="F46" s="270"/>
      <c r="G46" s="271"/>
      <c r="H46" s="270"/>
      <c r="I46" s="271"/>
      <c r="J46" s="270"/>
      <c r="K46" s="271"/>
      <c r="L46" s="270"/>
      <c r="M46" s="271"/>
      <c r="N46" s="270"/>
      <c r="O46" s="271"/>
      <c r="P46" s="270"/>
      <c r="Q46" s="271"/>
      <c r="R46" s="272"/>
      <c r="S46" s="273"/>
      <c r="T46" s="274"/>
      <c r="U46" s="273"/>
      <c r="V46" s="274"/>
      <c r="W46" s="273"/>
      <c r="X46" s="274"/>
      <c r="Y46" s="273"/>
      <c r="Z46" s="274"/>
      <c r="AA46" s="273"/>
      <c r="AB46" s="272">
        <f t="shared" si="0"/>
        <v>0</v>
      </c>
      <c r="AC46" s="272" t="str">
        <f t="shared" si="1"/>
        <v/>
      </c>
      <c r="AD46" s="272"/>
    </row>
    <row r="47" spans="1:31">
      <c r="A47" s="267">
        <v>39</v>
      </c>
      <c r="B47" s="275"/>
      <c r="C47" s="278">
        <f>IFERROR('Biaya Siswa'!B52,"")</f>
        <v>0</v>
      </c>
      <c r="D47" s="269" t="str">
        <f>IFERROR(VLOOKUP(C47,'Biaya Siswa'!B:M,3,FALSE),"")</f>
        <v/>
      </c>
      <c r="E47" s="270" t="str">
        <f>IFERROR(VLOOKUP(C47,'Biaya Siswa'!B:M,12,FALSE),"")</f>
        <v/>
      </c>
      <c r="F47" s="272"/>
      <c r="G47" s="271"/>
      <c r="H47" s="270"/>
      <c r="I47" s="271"/>
      <c r="J47" s="270"/>
      <c r="K47" s="271"/>
      <c r="L47" s="270"/>
      <c r="M47" s="271"/>
      <c r="N47" s="270"/>
      <c r="O47" s="271"/>
      <c r="P47" s="270"/>
      <c r="Q47" s="271"/>
      <c r="R47" s="272"/>
      <c r="S47" s="273"/>
      <c r="T47" s="274"/>
      <c r="U47" s="273"/>
      <c r="V47" s="274"/>
      <c r="W47" s="273"/>
      <c r="X47" s="274"/>
      <c r="Y47" s="273"/>
      <c r="Z47" s="274"/>
      <c r="AA47" s="273"/>
      <c r="AB47" s="272">
        <f t="shared" si="0"/>
        <v>0</v>
      </c>
      <c r="AC47" s="272" t="str">
        <f t="shared" si="1"/>
        <v/>
      </c>
      <c r="AD47" s="272"/>
    </row>
    <row r="48" spans="1:31" s="389" customFormat="1">
      <c r="A48" s="378">
        <v>40</v>
      </c>
      <c r="B48" s="379"/>
      <c r="C48" s="380">
        <f>IFERROR('Biaya Siswa'!B53,"")</f>
        <v>0</v>
      </c>
      <c r="D48" s="381" t="str">
        <f>IFERROR(VLOOKUP(C48,'Biaya Siswa'!B:M,3,FALSE),"")</f>
        <v/>
      </c>
      <c r="E48" s="382" t="str">
        <f>IFERROR(VLOOKUP(C48,'Biaya Siswa'!B:M,12,FALSE),"")</f>
        <v/>
      </c>
      <c r="F48" s="383"/>
      <c r="G48" s="384"/>
      <c r="H48" s="382"/>
      <c r="I48" s="384"/>
      <c r="J48" s="382"/>
      <c r="K48" s="384"/>
      <c r="L48" s="382"/>
      <c r="M48" s="384"/>
      <c r="N48" s="382"/>
      <c r="O48" s="384"/>
      <c r="P48" s="382"/>
      <c r="Q48" s="384"/>
      <c r="R48" s="383"/>
      <c r="S48" s="385"/>
      <c r="T48" s="386"/>
      <c r="U48" s="385"/>
      <c r="V48" s="386"/>
      <c r="W48" s="385"/>
      <c r="X48" s="386"/>
      <c r="Y48" s="385"/>
      <c r="Z48" s="386"/>
      <c r="AA48" s="385"/>
      <c r="AB48" s="383">
        <f t="shared" si="0"/>
        <v>0</v>
      </c>
      <c r="AC48" s="383" t="str">
        <f t="shared" si="1"/>
        <v/>
      </c>
      <c r="AD48" s="383"/>
      <c r="AE48" s="388"/>
    </row>
    <row r="49" spans="1:31">
      <c r="A49" s="267">
        <v>41</v>
      </c>
      <c r="B49" s="275"/>
      <c r="C49" s="278">
        <f>IFERROR('Biaya Siswa'!B56,"")</f>
        <v>0</v>
      </c>
      <c r="D49" s="269" t="str">
        <f>IFERROR(VLOOKUP(C49,'Biaya Siswa'!B:M,3,FALSE),"")</f>
        <v/>
      </c>
      <c r="E49" s="270" t="str">
        <f>IFERROR(VLOOKUP(C49,'Biaya Siswa'!B:M,12,FALSE),"")</f>
        <v/>
      </c>
      <c r="F49" s="272"/>
      <c r="G49" s="271"/>
      <c r="H49" s="270"/>
      <c r="I49" s="271"/>
      <c r="J49" s="270"/>
      <c r="K49" s="271"/>
      <c r="L49" s="270"/>
      <c r="M49" s="271"/>
      <c r="N49" s="270"/>
      <c r="O49" s="271"/>
      <c r="P49" s="270"/>
      <c r="Q49" s="271"/>
      <c r="R49" s="272"/>
      <c r="S49" s="273"/>
      <c r="T49" s="274"/>
      <c r="U49" s="273"/>
      <c r="V49" s="274"/>
      <c r="W49" s="273"/>
      <c r="X49" s="274"/>
      <c r="Y49" s="273"/>
      <c r="Z49" s="274"/>
      <c r="AA49" s="273"/>
      <c r="AB49" s="272">
        <f t="shared" si="0"/>
        <v>0</v>
      </c>
      <c r="AC49" s="272" t="str">
        <f t="shared" si="1"/>
        <v/>
      </c>
      <c r="AD49" s="272"/>
    </row>
    <row r="50" spans="1:31">
      <c r="A50" s="267">
        <v>42</v>
      </c>
      <c r="B50" s="275"/>
      <c r="C50" s="278">
        <f>IFERROR('Biaya Siswa'!B57,"")</f>
        <v>0</v>
      </c>
      <c r="D50" s="269" t="str">
        <f>IFERROR(VLOOKUP(C50,'Biaya Siswa'!B:M,3,FALSE),"")</f>
        <v/>
      </c>
      <c r="E50" s="270" t="str">
        <f>IFERROR(VLOOKUP(C50,'Biaya Siswa'!B:M,12,FALSE),"")</f>
        <v/>
      </c>
      <c r="F50" s="272"/>
      <c r="G50" s="271"/>
      <c r="H50" s="270"/>
      <c r="I50" s="271"/>
      <c r="J50" s="270"/>
      <c r="K50" s="271"/>
      <c r="L50" s="270"/>
      <c r="M50" s="271"/>
      <c r="N50" s="270"/>
      <c r="O50" s="271"/>
      <c r="P50" s="270"/>
      <c r="Q50" s="271"/>
      <c r="R50" s="272"/>
      <c r="S50" s="273"/>
      <c r="T50" s="274"/>
      <c r="U50" s="273"/>
      <c r="V50" s="274"/>
      <c r="W50" s="273"/>
      <c r="X50" s="274"/>
      <c r="Y50" s="273"/>
      <c r="Z50" s="274"/>
      <c r="AA50" s="273"/>
      <c r="AB50" s="272">
        <f t="shared" si="0"/>
        <v>0</v>
      </c>
      <c r="AC50" s="272" t="str">
        <f t="shared" si="1"/>
        <v/>
      </c>
      <c r="AD50" s="272"/>
    </row>
    <row r="51" spans="1:31">
      <c r="A51" s="267">
        <v>43</v>
      </c>
      <c r="B51" s="275"/>
      <c r="C51" s="278">
        <f>IFERROR('Biaya Siswa'!B58,"")</f>
        <v>0</v>
      </c>
      <c r="D51" s="269" t="str">
        <f>IFERROR(VLOOKUP(C51,'Biaya Siswa'!B:M,3,FALSE),"")</f>
        <v/>
      </c>
      <c r="E51" s="270" t="str">
        <f>IFERROR(VLOOKUP(C51,'Biaya Siswa'!B:M,12,FALSE),"")</f>
        <v/>
      </c>
      <c r="F51" s="272"/>
      <c r="G51" s="271"/>
      <c r="H51" s="270"/>
      <c r="I51" s="271"/>
      <c r="J51" s="270"/>
      <c r="K51" s="271"/>
      <c r="L51" s="270"/>
      <c r="M51" s="271"/>
      <c r="N51" s="270"/>
      <c r="O51" s="271"/>
      <c r="P51" s="270"/>
      <c r="Q51" s="271"/>
      <c r="R51" s="272"/>
      <c r="S51" s="273"/>
      <c r="T51" s="274"/>
      <c r="U51" s="273"/>
      <c r="V51" s="274"/>
      <c r="W51" s="273"/>
      <c r="X51" s="274"/>
      <c r="Y51" s="273"/>
      <c r="Z51" s="274"/>
      <c r="AA51" s="273"/>
      <c r="AB51" s="272">
        <f t="shared" si="0"/>
        <v>0</v>
      </c>
      <c r="AC51" s="272" t="str">
        <f t="shared" si="1"/>
        <v/>
      </c>
      <c r="AD51" s="272"/>
    </row>
    <row r="52" spans="1:31">
      <c r="A52" s="267">
        <v>44</v>
      </c>
      <c r="B52" s="275"/>
      <c r="C52" s="278">
        <f>IFERROR('Biaya Siswa'!B59,"")</f>
        <v>0</v>
      </c>
      <c r="D52" s="269" t="str">
        <f>IFERROR(VLOOKUP(C52,'Biaya Siswa'!B:M,3,FALSE),"")</f>
        <v/>
      </c>
      <c r="E52" s="270" t="str">
        <f>IFERROR(VLOOKUP(C52,'Biaya Siswa'!B:M,12,FALSE),"")</f>
        <v/>
      </c>
      <c r="F52" s="311"/>
      <c r="G52" s="271"/>
      <c r="H52" s="270"/>
      <c r="I52" s="271"/>
      <c r="J52" s="270"/>
      <c r="K52" s="271"/>
      <c r="L52" s="270"/>
      <c r="M52" s="271"/>
      <c r="N52" s="270"/>
      <c r="O52" s="271"/>
      <c r="P52" s="270"/>
      <c r="Q52" s="271"/>
      <c r="R52" s="272"/>
      <c r="S52" s="273"/>
      <c r="T52" s="274"/>
      <c r="U52" s="273"/>
      <c r="V52" s="274"/>
      <c r="W52" s="273"/>
      <c r="X52" s="274"/>
      <c r="Y52" s="273"/>
      <c r="Z52" s="274"/>
      <c r="AA52" s="273"/>
      <c r="AB52" s="272">
        <f t="shared" si="0"/>
        <v>0</v>
      </c>
      <c r="AC52" s="272" t="str">
        <f t="shared" si="1"/>
        <v/>
      </c>
      <c r="AD52" s="272"/>
    </row>
    <row r="53" spans="1:31">
      <c r="A53" s="267">
        <v>45</v>
      </c>
      <c r="B53" s="275"/>
      <c r="C53" s="278">
        <f>IFERROR('Biaya Siswa'!B60,"")</f>
        <v>0</v>
      </c>
      <c r="D53" s="269" t="str">
        <f>IFERROR(VLOOKUP(C53,'Biaya Siswa'!B:M,3,FALSE),"")</f>
        <v/>
      </c>
      <c r="E53" s="270" t="str">
        <f>IFERROR(VLOOKUP(C53,'Biaya Siswa'!B:M,12,FALSE),"")</f>
        <v/>
      </c>
      <c r="F53" s="276"/>
      <c r="G53" s="271"/>
      <c r="H53" s="270"/>
      <c r="I53" s="271"/>
      <c r="J53" s="270"/>
      <c r="K53" s="271"/>
      <c r="L53" s="270"/>
      <c r="M53" s="271"/>
      <c r="N53" s="270"/>
      <c r="O53" s="271"/>
      <c r="P53" s="270"/>
      <c r="Q53" s="271"/>
      <c r="R53" s="276"/>
      <c r="S53" s="273"/>
      <c r="T53" s="277"/>
      <c r="U53" s="273"/>
      <c r="V53" s="277"/>
      <c r="W53" s="273"/>
      <c r="X53" s="277"/>
      <c r="Y53" s="273"/>
      <c r="Z53" s="277"/>
      <c r="AA53" s="273"/>
      <c r="AB53" s="272">
        <f t="shared" si="0"/>
        <v>0</v>
      </c>
      <c r="AC53" s="272" t="str">
        <f t="shared" si="1"/>
        <v/>
      </c>
      <c r="AD53" s="272"/>
    </row>
    <row r="54" spans="1:31" s="389" customFormat="1">
      <c r="A54" s="378">
        <v>46</v>
      </c>
      <c r="B54" s="379"/>
      <c r="C54" s="380">
        <f>IFERROR('Biaya Siswa'!B61,"")</f>
        <v>0</v>
      </c>
      <c r="D54" s="381" t="str">
        <f>IFERROR(VLOOKUP(C54,'Biaya Siswa'!B:M,3,FALSE),"")</f>
        <v/>
      </c>
      <c r="E54" s="382" t="str">
        <f>IFERROR(VLOOKUP(C54,'Biaya Siswa'!B:M,12,FALSE),"")</f>
        <v/>
      </c>
      <c r="F54" s="383"/>
      <c r="G54" s="384"/>
      <c r="H54" s="382"/>
      <c r="I54" s="384"/>
      <c r="J54" s="382"/>
      <c r="K54" s="384"/>
      <c r="L54" s="382"/>
      <c r="M54" s="384"/>
      <c r="N54" s="382"/>
      <c r="O54" s="384"/>
      <c r="P54" s="382"/>
      <c r="Q54" s="384"/>
      <c r="R54" s="383"/>
      <c r="S54" s="385"/>
      <c r="T54" s="386"/>
      <c r="U54" s="385"/>
      <c r="V54" s="386"/>
      <c r="W54" s="385"/>
      <c r="X54" s="386"/>
      <c r="Y54" s="385"/>
      <c r="Z54" s="386"/>
      <c r="AA54" s="385"/>
      <c r="AB54" s="383">
        <f t="shared" si="0"/>
        <v>0</v>
      </c>
      <c r="AC54" s="383" t="str">
        <f t="shared" si="1"/>
        <v/>
      </c>
      <c r="AD54" s="383"/>
      <c r="AE54" s="388"/>
    </row>
    <row r="55" spans="1:31">
      <c r="A55" s="377">
        <v>47</v>
      </c>
      <c r="B55" s="68"/>
      <c r="C55" s="234">
        <f>IFERROR('Biaya Siswa'!B62,"")</f>
        <v>0</v>
      </c>
      <c r="D55" s="233" t="str">
        <f>IFERROR(VLOOKUP(C55,'Biaya Siswa'!B:M,3,FALSE),"")</f>
        <v/>
      </c>
      <c r="E55" s="180" t="str">
        <f>IFERROR(VLOOKUP(C55,'Biaya Siswa'!B:M,12,FALSE),"")</f>
        <v/>
      </c>
      <c r="F55" s="69"/>
      <c r="G55" s="260"/>
      <c r="H55" s="181"/>
      <c r="I55" s="260"/>
      <c r="J55" s="181"/>
      <c r="K55" s="260"/>
      <c r="L55" s="181"/>
      <c r="M55" s="260"/>
      <c r="N55" s="181"/>
      <c r="O55" s="260"/>
      <c r="P55" s="181"/>
      <c r="Q55" s="260"/>
      <c r="R55" s="69"/>
      <c r="S55" s="197"/>
      <c r="T55" s="117"/>
      <c r="U55" s="197"/>
      <c r="V55" s="117"/>
      <c r="W55" s="197"/>
      <c r="X55" s="117"/>
      <c r="Y55" s="197"/>
      <c r="Z55" s="117"/>
      <c r="AA55" s="197"/>
      <c r="AB55" s="69">
        <f t="shared" si="0"/>
        <v>0</v>
      </c>
      <c r="AC55" s="69" t="str">
        <f t="shared" si="1"/>
        <v/>
      </c>
      <c r="AD55" s="69"/>
    </row>
    <row r="56" spans="1:31">
      <c r="A56" s="267">
        <v>48</v>
      </c>
      <c r="B56" s="275"/>
      <c r="C56" s="278">
        <f>IFERROR('Biaya Siswa'!B63,"")</f>
        <v>0</v>
      </c>
      <c r="D56" s="269" t="str">
        <f>IFERROR(VLOOKUP(C56,'Biaya Siswa'!B:M,3,FALSE),"")</f>
        <v/>
      </c>
      <c r="E56" s="270" t="str">
        <f>IFERROR(VLOOKUP(C56,'Biaya Siswa'!B:M,12,FALSE),"")</f>
        <v/>
      </c>
      <c r="F56" s="272"/>
      <c r="G56" s="271"/>
      <c r="H56" s="270"/>
      <c r="I56" s="271"/>
      <c r="J56" s="270"/>
      <c r="K56" s="271"/>
      <c r="L56" s="270"/>
      <c r="M56" s="271"/>
      <c r="N56" s="270"/>
      <c r="O56" s="271"/>
      <c r="P56" s="270"/>
      <c r="Q56" s="271"/>
      <c r="R56" s="272"/>
      <c r="S56" s="273"/>
      <c r="T56" s="274"/>
      <c r="U56" s="273"/>
      <c r="V56" s="274"/>
      <c r="W56" s="273"/>
      <c r="X56" s="274"/>
      <c r="Y56" s="273"/>
      <c r="Z56" s="274"/>
      <c r="AA56" s="273"/>
      <c r="AB56" s="272">
        <f t="shared" si="0"/>
        <v>0</v>
      </c>
      <c r="AC56" s="272" t="str">
        <f t="shared" si="1"/>
        <v/>
      </c>
      <c r="AD56" s="272"/>
    </row>
    <row r="57" spans="1:31">
      <c r="A57" s="267">
        <v>49</v>
      </c>
      <c r="B57" s="275"/>
      <c r="C57" s="278">
        <f>IFERROR('Biaya Siswa'!B64,"")</f>
        <v>0</v>
      </c>
      <c r="D57" s="269" t="str">
        <f>IFERROR(VLOOKUP(C57,'Biaya Siswa'!B:M,3,FALSE),"")</f>
        <v/>
      </c>
      <c r="E57" s="270" t="str">
        <f>IFERROR(VLOOKUP(C57,'Biaya Siswa'!B:M,12,FALSE),"")</f>
        <v/>
      </c>
      <c r="F57" s="272"/>
      <c r="G57" s="271"/>
      <c r="H57" s="270"/>
      <c r="I57" s="271"/>
      <c r="J57" s="270"/>
      <c r="K57" s="271"/>
      <c r="L57" s="270"/>
      <c r="M57" s="271"/>
      <c r="N57" s="270"/>
      <c r="O57" s="271"/>
      <c r="P57" s="270"/>
      <c r="Q57" s="271"/>
      <c r="R57" s="272"/>
      <c r="S57" s="273"/>
      <c r="T57" s="274"/>
      <c r="U57" s="273"/>
      <c r="V57" s="274"/>
      <c r="W57" s="273"/>
      <c r="X57" s="274"/>
      <c r="Y57" s="273"/>
      <c r="Z57" s="274"/>
      <c r="AA57" s="273"/>
      <c r="AB57" s="272">
        <f t="shared" si="0"/>
        <v>0</v>
      </c>
      <c r="AC57" s="272" t="str">
        <f t="shared" si="1"/>
        <v/>
      </c>
      <c r="AD57" s="272"/>
      <c r="AE57" s="335">
        <v>50000</v>
      </c>
    </row>
    <row r="58" spans="1:31">
      <c r="A58" s="377">
        <v>50</v>
      </c>
      <c r="B58" s="68"/>
      <c r="C58" s="234">
        <f>IFERROR('Biaya Siswa'!B65,"")</f>
        <v>0</v>
      </c>
      <c r="D58" s="233" t="str">
        <f>IFERROR(VLOOKUP(C58,'Biaya Siswa'!B:M,3,FALSE),"")</f>
        <v/>
      </c>
      <c r="E58" s="180" t="str">
        <f>IFERROR(VLOOKUP(C58,'Biaya Siswa'!B:M,12,FALSE),"")</f>
        <v/>
      </c>
      <c r="F58" s="69"/>
      <c r="G58" s="260"/>
      <c r="H58" s="181"/>
      <c r="I58" s="260"/>
      <c r="J58" s="181"/>
      <c r="K58" s="260"/>
      <c r="L58" s="181"/>
      <c r="M58" s="260"/>
      <c r="N58" s="181"/>
      <c r="O58" s="260"/>
      <c r="P58" s="181"/>
      <c r="Q58" s="260"/>
      <c r="R58" s="69"/>
      <c r="S58" s="197"/>
      <c r="T58" s="117"/>
      <c r="U58" s="197"/>
      <c r="V58" s="117"/>
      <c r="W58" s="197"/>
      <c r="X58" s="117"/>
      <c r="Y58" s="197"/>
      <c r="Z58" s="117"/>
      <c r="AA58" s="197"/>
      <c r="AB58" s="69">
        <f t="shared" si="0"/>
        <v>0</v>
      </c>
      <c r="AC58" s="69" t="str">
        <f t="shared" si="1"/>
        <v/>
      </c>
      <c r="AD58" s="69"/>
    </row>
    <row r="59" spans="1:31">
      <c r="A59" s="267">
        <v>51</v>
      </c>
      <c r="B59" s="275"/>
      <c r="C59" s="278">
        <f>IFERROR('Biaya Siswa'!B66,"")</f>
        <v>0</v>
      </c>
      <c r="D59" s="269" t="str">
        <f>IFERROR(VLOOKUP(C59,'Biaya Siswa'!B:M,3,FALSE),"")</f>
        <v/>
      </c>
      <c r="E59" s="270" t="str">
        <f>IFERROR(VLOOKUP(C59,'Biaya Siswa'!B:M,12,FALSE),"")</f>
        <v/>
      </c>
      <c r="F59" s="272"/>
      <c r="G59" s="271"/>
      <c r="H59" s="270"/>
      <c r="I59" s="271"/>
      <c r="J59" s="270"/>
      <c r="K59" s="271"/>
      <c r="L59" s="270"/>
      <c r="M59" s="271"/>
      <c r="N59" s="270"/>
      <c r="O59" s="271"/>
      <c r="P59" s="270"/>
      <c r="Q59" s="271"/>
      <c r="R59" s="272"/>
      <c r="S59" s="273"/>
      <c r="T59" s="274"/>
      <c r="U59" s="273"/>
      <c r="V59" s="274"/>
      <c r="W59" s="273"/>
      <c r="X59" s="274"/>
      <c r="Y59" s="273"/>
      <c r="Z59" s="274"/>
      <c r="AA59" s="273"/>
      <c r="AB59" s="272">
        <f t="shared" si="0"/>
        <v>0</v>
      </c>
      <c r="AC59" s="272" t="str">
        <f t="shared" si="1"/>
        <v/>
      </c>
      <c r="AD59" s="272"/>
    </row>
    <row r="60" spans="1:31">
      <c r="A60" s="267">
        <v>52</v>
      </c>
      <c r="B60" s="275"/>
      <c r="C60" s="278">
        <f>IFERROR('Biaya Siswa'!B67,"")</f>
        <v>0</v>
      </c>
      <c r="D60" s="269" t="str">
        <f>IFERROR(VLOOKUP(C60,'Biaya Siswa'!B:M,3,FALSE),"")</f>
        <v/>
      </c>
      <c r="E60" s="270" t="str">
        <f>IFERROR(VLOOKUP(C60,'Biaya Siswa'!B:M,12,FALSE),"")</f>
        <v/>
      </c>
      <c r="F60" s="272"/>
      <c r="G60" s="271"/>
      <c r="H60" s="270"/>
      <c r="I60" s="271"/>
      <c r="J60" s="270"/>
      <c r="K60" s="271"/>
      <c r="L60" s="270"/>
      <c r="M60" s="271"/>
      <c r="N60" s="270"/>
      <c r="O60" s="271"/>
      <c r="P60" s="270"/>
      <c r="Q60" s="271"/>
      <c r="R60" s="272"/>
      <c r="S60" s="273"/>
      <c r="T60" s="274"/>
      <c r="U60" s="273"/>
      <c r="V60" s="274"/>
      <c r="W60" s="273"/>
      <c r="X60" s="274"/>
      <c r="Y60" s="273"/>
      <c r="Z60" s="274"/>
      <c r="AA60" s="273"/>
      <c r="AB60" s="272">
        <f t="shared" si="0"/>
        <v>0</v>
      </c>
      <c r="AC60" s="272" t="str">
        <f t="shared" si="1"/>
        <v/>
      </c>
      <c r="AD60" s="272"/>
    </row>
    <row r="61" spans="1:31">
      <c r="A61" s="267">
        <v>53</v>
      </c>
      <c r="B61" s="275"/>
      <c r="C61" s="278">
        <f>IFERROR('Biaya Siswa'!B68,"")</f>
        <v>0</v>
      </c>
      <c r="D61" s="269" t="str">
        <f>IFERROR(VLOOKUP(C61,'Biaya Siswa'!B:M,3,FALSE),"")</f>
        <v/>
      </c>
      <c r="E61" s="270" t="str">
        <f>IFERROR(VLOOKUP(C61,'Biaya Siswa'!B:M,12,FALSE),"")</f>
        <v/>
      </c>
      <c r="F61" s="272"/>
      <c r="G61" s="271"/>
      <c r="H61" s="270"/>
      <c r="I61" s="271"/>
      <c r="J61" s="270"/>
      <c r="K61" s="271"/>
      <c r="L61" s="270"/>
      <c r="M61" s="271"/>
      <c r="N61" s="270"/>
      <c r="O61" s="271"/>
      <c r="P61" s="270"/>
      <c r="Q61" s="271"/>
      <c r="R61" s="272"/>
      <c r="S61" s="273"/>
      <c r="T61" s="274"/>
      <c r="U61" s="273"/>
      <c r="V61" s="274"/>
      <c r="W61" s="273"/>
      <c r="X61" s="274"/>
      <c r="Y61" s="273"/>
      <c r="Z61" s="274"/>
      <c r="AA61" s="273"/>
      <c r="AB61" s="272">
        <f t="shared" si="0"/>
        <v>0</v>
      </c>
      <c r="AC61" s="272" t="str">
        <f t="shared" si="1"/>
        <v/>
      </c>
      <c r="AD61" s="272"/>
    </row>
    <row r="62" spans="1:31">
      <c r="A62" s="267">
        <v>54</v>
      </c>
      <c r="B62" s="275"/>
      <c r="C62" s="278">
        <f>IFERROR('Biaya Siswa'!B69,"")</f>
        <v>0</v>
      </c>
      <c r="D62" s="269" t="str">
        <f>IFERROR(VLOOKUP(C62,'Biaya Siswa'!B:M,3,FALSE),"")</f>
        <v/>
      </c>
      <c r="E62" s="270" t="str">
        <f>IFERROR(VLOOKUP(C62,'Biaya Siswa'!B:M,12,FALSE),"")</f>
        <v/>
      </c>
      <c r="F62" s="272"/>
      <c r="G62" s="271"/>
      <c r="H62" s="270"/>
      <c r="I62" s="271"/>
      <c r="J62" s="270"/>
      <c r="K62" s="271"/>
      <c r="L62" s="270"/>
      <c r="M62" s="271"/>
      <c r="N62" s="270"/>
      <c r="O62" s="271"/>
      <c r="P62" s="270"/>
      <c r="Q62" s="271"/>
      <c r="R62" s="272"/>
      <c r="S62" s="273"/>
      <c r="T62" s="274"/>
      <c r="U62" s="273"/>
      <c r="V62" s="274"/>
      <c r="W62" s="273"/>
      <c r="X62" s="274"/>
      <c r="Y62" s="273"/>
      <c r="Z62" s="274"/>
      <c r="AA62" s="273"/>
      <c r="AB62" s="272">
        <f t="shared" si="0"/>
        <v>0</v>
      </c>
      <c r="AC62" s="272" t="str">
        <f t="shared" si="1"/>
        <v/>
      </c>
      <c r="AD62" s="272"/>
    </row>
    <row r="63" spans="1:31">
      <c r="A63" s="267">
        <v>55</v>
      </c>
      <c r="B63" s="275"/>
      <c r="C63" s="278">
        <f>IFERROR('Biaya Siswa'!B70,"")</f>
        <v>0</v>
      </c>
      <c r="D63" s="269" t="str">
        <f>IFERROR(VLOOKUP(C63,'Biaya Siswa'!B:M,3,FALSE),"")</f>
        <v/>
      </c>
      <c r="E63" s="270" t="str">
        <f>IFERROR(VLOOKUP(C63,'Biaya Siswa'!B:M,12,FALSE),"")</f>
        <v/>
      </c>
      <c r="F63" s="272"/>
      <c r="G63" s="271"/>
      <c r="H63" s="270"/>
      <c r="I63" s="271"/>
      <c r="J63" s="270"/>
      <c r="K63" s="271"/>
      <c r="L63" s="270"/>
      <c r="M63" s="271"/>
      <c r="N63" s="270"/>
      <c r="O63" s="271"/>
      <c r="P63" s="270"/>
      <c r="Q63" s="271"/>
      <c r="R63" s="272"/>
      <c r="S63" s="273"/>
      <c r="T63" s="274"/>
      <c r="U63" s="273"/>
      <c r="V63" s="274"/>
      <c r="W63" s="273"/>
      <c r="X63" s="274"/>
      <c r="Y63" s="273"/>
      <c r="Z63" s="274"/>
      <c r="AA63" s="273"/>
      <c r="AB63" s="272">
        <f t="shared" si="0"/>
        <v>0</v>
      </c>
      <c r="AC63" s="272" t="str">
        <f t="shared" si="1"/>
        <v/>
      </c>
      <c r="AD63" s="272"/>
    </row>
    <row r="64" spans="1:31">
      <c r="A64" s="377">
        <v>56</v>
      </c>
      <c r="B64" s="68"/>
      <c r="C64" s="234">
        <f>IFERROR('Biaya Siswa'!B71,"")</f>
        <v>0</v>
      </c>
      <c r="D64" s="233" t="str">
        <f>IFERROR(VLOOKUP(C64,'Biaya Siswa'!B:M,3,FALSE),"")</f>
        <v/>
      </c>
      <c r="E64" s="180" t="str">
        <f>IFERROR(VLOOKUP(C64,'Biaya Siswa'!B:M,12,FALSE),"")</f>
        <v/>
      </c>
      <c r="F64" s="185"/>
      <c r="G64" s="261"/>
      <c r="H64" s="181"/>
      <c r="I64" s="260"/>
      <c r="J64" s="181"/>
      <c r="K64" s="260"/>
      <c r="L64" s="181"/>
      <c r="M64" s="260"/>
      <c r="N64" s="181"/>
      <c r="O64" s="260"/>
      <c r="P64" s="181"/>
      <c r="Q64" s="260"/>
      <c r="R64" s="69"/>
      <c r="S64" s="197"/>
      <c r="T64" s="117"/>
      <c r="U64" s="197"/>
      <c r="V64" s="117"/>
      <c r="W64" s="197"/>
      <c r="X64" s="117"/>
      <c r="Y64" s="197"/>
      <c r="Z64" s="117"/>
      <c r="AA64" s="197"/>
      <c r="AB64" s="69">
        <f t="shared" si="0"/>
        <v>0</v>
      </c>
      <c r="AC64" s="69" t="str">
        <f t="shared" si="1"/>
        <v/>
      </c>
      <c r="AD64" s="69"/>
    </row>
    <row r="65" spans="1:31">
      <c r="A65" s="267">
        <v>57</v>
      </c>
      <c r="B65" s="275"/>
      <c r="C65" s="278">
        <f>IFERROR('Biaya Siswa'!B72,"")</f>
        <v>0</v>
      </c>
      <c r="D65" s="269" t="str">
        <f>IFERROR(VLOOKUP(C65,'Biaya Siswa'!B:M,3,FALSE),"")</f>
        <v/>
      </c>
      <c r="E65" s="270" t="str">
        <f>IFERROR(VLOOKUP(C65,'Biaya Siswa'!B:M,12,FALSE),"")</f>
        <v/>
      </c>
      <c r="F65" s="272"/>
      <c r="G65" s="271"/>
      <c r="H65" s="270"/>
      <c r="I65" s="271"/>
      <c r="J65" s="270"/>
      <c r="K65" s="271"/>
      <c r="L65" s="270"/>
      <c r="M65" s="271"/>
      <c r="N65" s="270"/>
      <c r="O65" s="271"/>
      <c r="P65" s="270"/>
      <c r="Q65" s="271"/>
      <c r="R65" s="272"/>
      <c r="S65" s="273"/>
      <c r="T65" s="274"/>
      <c r="U65" s="273"/>
      <c r="V65" s="274"/>
      <c r="W65" s="273"/>
      <c r="X65" s="274"/>
      <c r="Y65" s="273"/>
      <c r="Z65" s="274"/>
      <c r="AA65" s="273"/>
      <c r="AB65" s="272">
        <f t="shared" ref="AB65:AB99" si="2">F65+H65+J65+L65+N65+P65+R65+T65+V65+X65+Z65</f>
        <v>0</v>
      </c>
      <c r="AC65" s="272" t="str">
        <f t="shared" ref="AC65:AC99" si="3">IFERROR(E65-AB65,"")</f>
        <v/>
      </c>
      <c r="AD65" s="272"/>
    </row>
    <row r="66" spans="1:31">
      <c r="A66" s="377">
        <v>58</v>
      </c>
      <c r="B66" s="68"/>
      <c r="C66" s="234">
        <f>IFERROR('Biaya Siswa'!B73,"")</f>
        <v>0</v>
      </c>
      <c r="D66" s="233" t="str">
        <f>IFERROR(VLOOKUP(C66,'Biaya Siswa'!B:M,3,FALSE),"")</f>
        <v/>
      </c>
      <c r="E66" s="180" t="str">
        <f>IFERROR(VLOOKUP(C66,'Biaya Siswa'!B:M,12,FALSE),"")</f>
        <v/>
      </c>
      <c r="F66" s="69"/>
      <c r="G66" s="260"/>
      <c r="H66" s="181"/>
      <c r="I66" s="260"/>
      <c r="J66" s="181"/>
      <c r="K66" s="260"/>
      <c r="L66" s="181"/>
      <c r="M66" s="260"/>
      <c r="N66" s="181"/>
      <c r="O66" s="260"/>
      <c r="P66" s="181"/>
      <c r="Q66" s="260"/>
      <c r="R66" s="69"/>
      <c r="S66" s="197"/>
      <c r="T66" s="117"/>
      <c r="U66" s="197"/>
      <c r="V66" s="117"/>
      <c r="W66" s="197"/>
      <c r="X66" s="117"/>
      <c r="Y66" s="197"/>
      <c r="Z66" s="117"/>
      <c r="AA66" s="197"/>
      <c r="AB66" s="69">
        <f t="shared" si="2"/>
        <v>0</v>
      </c>
      <c r="AC66" s="69" t="str">
        <f t="shared" si="3"/>
        <v/>
      </c>
      <c r="AD66" s="69"/>
    </row>
    <row r="67" spans="1:31">
      <c r="A67" s="377">
        <v>59</v>
      </c>
      <c r="B67" s="68"/>
      <c r="C67" s="234">
        <f>IFERROR('Biaya Siswa'!B74,"")</f>
        <v>0</v>
      </c>
      <c r="D67" s="233" t="str">
        <f>IFERROR(VLOOKUP(C67,'Biaya Siswa'!B:M,3,FALSE),"")</f>
        <v/>
      </c>
      <c r="E67" s="180" t="str">
        <f>IFERROR(VLOOKUP(C67,'Biaya Siswa'!B:M,12,FALSE),"")</f>
        <v/>
      </c>
      <c r="F67" s="69"/>
      <c r="G67" s="260"/>
      <c r="H67" s="181"/>
      <c r="I67" s="260"/>
      <c r="J67" s="181"/>
      <c r="K67" s="260"/>
      <c r="L67" s="181"/>
      <c r="M67" s="260"/>
      <c r="N67" s="181"/>
      <c r="O67" s="260"/>
      <c r="P67" s="181"/>
      <c r="Q67" s="260"/>
      <c r="R67" s="69"/>
      <c r="S67" s="197"/>
      <c r="T67" s="117"/>
      <c r="U67" s="197"/>
      <c r="V67" s="117"/>
      <c r="W67" s="197"/>
      <c r="X67" s="117"/>
      <c r="Y67" s="197"/>
      <c r="Z67" s="117"/>
      <c r="AA67" s="197"/>
      <c r="AB67" s="69">
        <f t="shared" si="2"/>
        <v>0</v>
      </c>
      <c r="AC67" s="69" t="str">
        <f t="shared" si="3"/>
        <v/>
      </c>
      <c r="AD67" s="69"/>
    </row>
    <row r="68" spans="1:31">
      <c r="A68" s="267">
        <v>60</v>
      </c>
      <c r="B68" s="275"/>
      <c r="C68" s="278">
        <f>IFERROR('Biaya Siswa'!B75,"")</f>
        <v>0</v>
      </c>
      <c r="D68" s="269" t="str">
        <f>IFERROR(VLOOKUP(C68,'Biaya Siswa'!B:M,3,FALSE),"")</f>
        <v/>
      </c>
      <c r="E68" s="270" t="str">
        <f>IFERROR(VLOOKUP(C68,'Biaya Siswa'!B:M,12,FALSE),"")</f>
        <v/>
      </c>
      <c r="F68" s="272"/>
      <c r="G68" s="271"/>
      <c r="H68" s="270"/>
      <c r="I68" s="271"/>
      <c r="J68" s="270"/>
      <c r="K68" s="271"/>
      <c r="L68" s="270"/>
      <c r="M68" s="271"/>
      <c r="N68" s="270"/>
      <c r="O68" s="271"/>
      <c r="P68" s="270"/>
      <c r="Q68" s="271"/>
      <c r="R68" s="272"/>
      <c r="S68" s="273"/>
      <c r="T68" s="274"/>
      <c r="U68" s="273"/>
      <c r="V68" s="274"/>
      <c r="W68" s="273"/>
      <c r="X68" s="274"/>
      <c r="Y68" s="273"/>
      <c r="Z68" s="274"/>
      <c r="AA68" s="273"/>
      <c r="AB68" s="272">
        <f t="shared" si="2"/>
        <v>0</v>
      </c>
      <c r="AC68" s="272" t="str">
        <f t="shared" si="3"/>
        <v/>
      </c>
      <c r="AD68" s="272"/>
    </row>
    <row r="69" spans="1:31" s="389" customFormat="1">
      <c r="A69" s="378">
        <v>61</v>
      </c>
      <c r="B69" s="379"/>
      <c r="C69" s="380">
        <f>IFERROR('Biaya Siswa'!B76,"")</f>
        <v>0</v>
      </c>
      <c r="D69" s="381" t="str">
        <f>IFERROR(VLOOKUP(C69,'Biaya Siswa'!B:M,3,FALSE),"")</f>
        <v/>
      </c>
      <c r="E69" s="382" t="str">
        <f>IFERROR(VLOOKUP(C69,'Biaya Siswa'!B:M,12,FALSE),"")</f>
        <v/>
      </c>
      <c r="F69" s="383"/>
      <c r="G69" s="384"/>
      <c r="H69" s="382"/>
      <c r="I69" s="384"/>
      <c r="J69" s="382"/>
      <c r="K69" s="384"/>
      <c r="L69" s="382"/>
      <c r="M69" s="384"/>
      <c r="N69" s="382"/>
      <c r="O69" s="384"/>
      <c r="P69" s="382"/>
      <c r="Q69" s="384"/>
      <c r="R69" s="383"/>
      <c r="S69" s="385"/>
      <c r="T69" s="386"/>
      <c r="U69" s="385"/>
      <c r="V69" s="386"/>
      <c r="W69" s="385"/>
      <c r="X69" s="386"/>
      <c r="Y69" s="385"/>
      <c r="Z69" s="386"/>
      <c r="AA69" s="385"/>
      <c r="AB69" s="383">
        <f t="shared" si="2"/>
        <v>0</v>
      </c>
      <c r="AC69" s="383" t="str">
        <f t="shared" si="3"/>
        <v/>
      </c>
      <c r="AD69" s="383"/>
      <c r="AE69" s="388"/>
    </row>
    <row r="70" spans="1:31" s="389" customFormat="1">
      <c r="A70" s="378">
        <v>62</v>
      </c>
      <c r="B70" s="379"/>
      <c r="C70" s="380">
        <f>IFERROR('Biaya Siswa'!B77,"")</f>
        <v>0</v>
      </c>
      <c r="D70" s="381" t="str">
        <f>IFERROR(VLOOKUP(C70,'Biaya Siswa'!B:M,3,FALSE),"")</f>
        <v/>
      </c>
      <c r="E70" s="382" t="str">
        <f>IFERROR(VLOOKUP(C70,'Biaya Siswa'!B:M,12,FALSE),"")</f>
        <v/>
      </c>
      <c r="F70" s="383"/>
      <c r="G70" s="384"/>
      <c r="H70" s="382"/>
      <c r="I70" s="384"/>
      <c r="J70" s="382"/>
      <c r="K70" s="384"/>
      <c r="L70" s="382"/>
      <c r="M70" s="384"/>
      <c r="N70" s="382"/>
      <c r="O70" s="384"/>
      <c r="P70" s="382"/>
      <c r="Q70" s="384"/>
      <c r="R70" s="383"/>
      <c r="S70" s="385"/>
      <c r="T70" s="386"/>
      <c r="U70" s="385"/>
      <c r="V70" s="386"/>
      <c r="W70" s="385"/>
      <c r="X70" s="386"/>
      <c r="Y70" s="385"/>
      <c r="Z70" s="386"/>
      <c r="AA70" s="385"/>
      <c r="AB70" s="383">
        <f t="shared" si="2"/>
        <v>0</v>
      </c>
      <c r="AC70" s="383" t="str">
        <f t="shared" si="3"/>
        <v/>
      </c>
      <c r="AD70" s="383"/>
      <c r="AE70" s="388"/>
    </row>
    <row r="71" spans="1:31" s="389" customFormat="1">
      <c r="A71" s="378">
        <v>63</v>
      </c>
      <c r="B71" s="379"/>
      <c r="C71" s="380">
        <f>IFERROR('Biaya Siswa'!B78,"")</f>
        <v>0</v>
      </c>
      <c r="D71" s="381" t="str">
        <f>IFERROR(VLOOKUP(C71,'Biaya Siswa'!B:M,3,FALSE),"")</f>
        <v/>
      </c>
      <c r="E71" s="382" t="str">
        <f>IFERROR(VLOOKUP(C71,'Biaya Siswa'!B:M,12,FALSE),"")</f>
        <v/>
      </c>
      <c r="F71" s="383"/>
      <c r="G71" s="384"/>
      <c r="H71" s="382"/>
      <c r="I71" s="384"/>
      <c r="J71" s="382"/>
      <c r="K71" s="384"/>
      <c r="L71" s="382"/>
      <c r="M71" s="384"/>
      <c r="N71" s="382"/>
      <c r="O71" s="384"/>
      <c r="P71" s="382"/>
      <c r="Q71" s="384"/>
      <c r="R71" s="383"/>
      <c r="S71" s="385"/>
      <c r="T71" s="386"/>
      <c r="U71" s="385"/>
      <c r="V71" s="386"/>
      <c r="W71" s="385"/>
      <c r="X71" s="386"/>
      <c r="Y71" s="385"/>
      <c r="Z71" s="386"/>
      <c r="AA71" s="385"/>
      <c r="AB71" s="383">
        <f t="shared" si="2"/>
        <v>0</v>
      </c>
      <c r="AC71" s="383" t="str">
        <f t="shared" si="3"/>
        <v/>
      </c>
      <c r="AD71" s="383"/>
      <c r="AE71" s="388"/>
    </row>
    <row r="72" spans="1:31" s="389" customFormat="1">
      <c r="A72" s="378">
        <v>64</v>
      </c>
      <c r="B72" s="379"/>
      <c r="C72" s="380">
        <f>IFERROR('Biaya Siswa'!B79,"")</f>
        <v>0</v>
      </c>
      <c r="D72" s="381" t="str">
        <f>IFERROR(VLOOKUP(C72,'Biaya Siswa'!B:M,3,FALSE),"")</f>
        <v/>
      </c>
      <c r="E72" s="382" t="str">
        <f>IFERROR(VLOOKUP(C72,'Biaya Siswa'!B:M,12,FALSE),"")</f>
        <v/>
      </c>
      <c r="F72" s="383"/>
      <c r="G72" s="384"/>
      <c r="H72" s="382"/>
      <c r="I72" s="384"/>
      <c r="J72" s="382"/>
      <c r="K72" s="384"/>
      <c r="L72" s="382"/>
      <c r="M72" s="384"/>
      <c r="N72" s="382"/>
      <c r="O72" s="384"/>
      <c r="P72" s="382"/>
      <c r="Q72" s="384"/>
      <c r="R72" s="383"/>
      <c r="S72" s="385"/>
      <c r="T72" s="386"/>
      <c r="U72" s="385"/>
      <c r="V72" s="386"/>
      <c r="W72" s="385"/>
      <c r="X72" s="386"/>
      <c r="Y72" s="385"/>
      <c r="Z72" s="386"/>
      <c r="AA72" s="385"/>
      <c r="AB72" s="383">
        <f t="shared" si="2"/>
        <v>0</v>
      </c>
      <c r="AC72" s="383" t="str">
        <f t="shared" si="3"/>
        <v/>
      </c>
      <c r="AD72" s="383"/>
      <c r="AE72" s="388"/>
    </row>
    <row r="73" spans="1:31" s="389" customFormat="1">
      <c r="A73" s="378">
        <v>65</v>
      </c>
      <c r="B73" s="379"/>
      <c r="C73" s="380">
        <f>IFERROR('Biaya Siswa'!B80,"")</f>
        <v>0</v>
      </c>
      <c r="D73" s="381" t="str">
        <f>IFERROR(VLOOKUP(C73,'Biaya Siswa'!B:M,3,FALSE),"")</f>
        <v/>
      </c>
      <c r="E73" s="382" t="str">
        <f>IFERROR(VLOOKUP(C73,'Biaya Siswa'!B:M,12,FALSE),"")</f>
        <v/>
      </c>
      <c r="F73" s="383"/>
      <c r="G73" s="384"/>
      <c r="H73" s="382"/>
      <c r="I73" s="384"/>
      <c r="J73" s="382"/>
      <c r="K73" s="384"/>
      <c r="L73" s="382"/>
      <c r="M73" s="384"/>
      <c r="N73" s="382"/>
      <c r="O73" s="384"/>
      <c r="P73" s="382"/>
      <c r="Q73" s="384"/>
      <c r="R73" s="383"/>
      <c r="S73" s="385"/>
      <c r="T73" s="386"/>
      <c r="U73" s="385"/>
      <c r="V73" s="386"/>
      <c r="W73" s="385"/>
      <c r="X73" s="386"/>
      <c r="Y73" s="385"/>
      <c r="Z73" s="386"/>
      <c r="AA73" s="385"/>
      <c r="AB73" s="383">
        <f t="shared" si="2"/>
        <v>0</v>
      </c>
      <c r="AC73" s="383" t="str">
        <f t="shared" si="3"/>
        <v/>
      </c>
      <c r="AD73" s="383"/>
      <c r="AE73" s="388"/>
    </row>
    <row r="74" spans="1:31" s="389" customFormat="1">
      <c r="A74" s="378">
        <v>66</v>
      </c>
      <c r="B74" s="379"/>
      <c r="C74" s="380">
        <f>IFERROR('Biaya Siswa'!B81,"")</f>
        <v>0</v>
      </c>
      <c r="D74" s="381" t="str">
        <f>IFERROR(VLOOKUP(C74,'Biaya Siswa'!B:M,3,FALSE),"")</f>
        <v/>
      </c>
      <c r="E74" s="382" t="str">
        <f>IFERROR(VLOOKUP(C74,'Biaya Siswa'!B:M,12,FALSE),"")</f>
        <v/>
      </c>
      <c r="F74" s="383"/>
      <c r="G74" s="384"/>
      <c r="H74" s="382"/>
      <c r="I74" s="384"/>
      <c r="J74" s="382"/>
      <c r="K74" s="384"/>
      <c r="L74" s="382"/>
      <c r="M74" s="384"/>
      <c r="N74" s="382"/>
      <c r="O74" s="384"/>
      <c r="P74" s="382"/>
      <c r="Q74" s="384"/>
      <c r="R74" s="383"/>
      <c r="S74" s="385"/>
      <c r="T74" s="386"/>
      <c r="U74" s="385"/>
      <c r="V74" s="386"/>
      <c r="W74" s="385"/>
      <c r="X74" s="386"/>
      <c r="Y74" s="385"/>
      <c r="Z74" s="386"/>
      <c r="AA74" s="385"/>
      <c r="AB74" s="383">
        <f t="shared" si="2"/>
        <v>0</v>
      </c>
      <c r="AC74" s="383" t="str">
        <f t="shared" si="3"/>
        <v/>
      </c>
      <c r="AD74" s="383"/>
      <c r="AE74" s="388"/>
    </row>
    <row r="75" spans="1:31" s="389" customFormat="1">
      <c r="A75" s="378">
        <v>67</v>
      </c>
      <c r="B75" s="379"/>
      <c r="C75" s="380">
        <f>IFERROR('Biaya Siswa'!B82,"")</f>
        <v>0</v>
      </c>
      <c r="D75" s="381" t="str">
        <f>IFERROR(VLOOKUP(C75,'Biaya Siswa'!B:M,3,FALSE),"")</f>
        <v/>
      </c>
      <c r="E75" s="382" t="str">
        <f>IFERROR(VLOOKUP(C75,'Biaya Siswa'!B:M,12,FALSE),"")</f>
        <v/>
      </c>
      <c r="F75" s="383"/>
      <c r="G75" s="384"/>
      <c r="H75" s="382"/>
      <c r="I75" s="384"/>
      <c r="J75" s="382"/>
      <c r="K75" s="384"/>
      <c r="L75" s="382"/>
      <c r="M75" s="384"/>
      <c r="N75" s="382"/>
      <c r="O75" s="384"/>
      <c r="P75" s="382"/>
      <c r="Q75" s="384"/>
      <c r="R75" s="383"/>
      <c r="S75" s="385"/>
      <c r="T75" s="386"/>
      <c r="U75" s="385"/>
      <c r="V75" s="386"/>
      <c r="W75" s="385"/>
      <c r="X75" s="386"/>
      <c r="Y75" s="385"/>
      <c r="Z75" s="386"/>
      <c r="AA75" s="385"/>
      <c r="AB75" s="383">
        <f t="shared" si="2"/>
        <v>0</v>
      </c>
      <c r="AC75" s="383" t="str">
        <f t="shared" si="3"/>
        <v/>
      </c>
      <c r="AD75" s="383"/>
      <c r="AE75" s="388"/>
    </row>
    <row r="76" spans="1:31" s="389" customFormat="1">
      <c r="A76" s="378">
        <v>68</v>
      </c>
      <c r="B76" s="392"/>
      <c r="C76" s="380">
        <f>IFERROR('Biaya Siswa'!B83,"")</f>
        <v>0</v>
      </c>
      <c r="D76" s="381" t="str">
        <f>IFERROR(VLOOKUP(C76,'Biaya Siswa'!B:M,3,FALSE),"")</f>
        <v/>
      </c>
      <c r="E76" s="382" t="str">
        <f>IFERROR(VLOOKUP(C76,'Biaya Siswa'!B:M,12,FALSE),"")</f>
        <v/>
      </c>
      <c r="F76" s="393"/>
      <c r="G76" s="394"/>
      <c r="H76" s="382"/>
      <c r="I76" s="384"/>
      <c r="J76" s="382"/>
      <c r="K76" s="384"/>
      <c r="L76" s="382"/>
      <c r="M76" s="384"/>
      <c r="N76" s="382"/>
      <c r="O76" s="384"/>
      <c r="P76" s="382"/>
      <c r="Q76" s="384"/>
      <c r="R76" s="383"/>
      <c r="S76" s="385"/>
      <c r="T76" s="386"/>
      <c r="U76" s="385"/>
      <c r="V76" s="386"/>
      <c r="W76" s="385"/>
      <c r="X76" s="386"/>
      <c r="Y76" s="385"/>
      <c r="Z76" s="386"/>
      <c r="AA76" s="385"/>
      <c r="AB76" s="383">
        <f t="shared" si="2"/>
        <v>0</v>
      </c>
      <c r="AC76" s="383" t="str">
        <f t="shared" si="3"/>
        <v/>
      </c>
      <c r="AD76" s="383"/>
      <c r="AE76" s="388"/>
    </row>
    <row r="77" spans="1:31" s="389" customFormat="1">
      <c r="A77" s="378">
        <v>69</v>
      </c>
      <c r="B77" s="379"/>
      <c r="C77" s="380">
        <f>IFERROR('Biaya Siswa'!B84,"")</f>
        <v>0</v>
      </c>
      <c r="D77" s="381" t="str">
        <f>IFERROR(VLOOKUP(C77,'Biaya Siswa'!B:M,3,FALSE),"")</f>
        <v/>
      </c>
      <c r="E77" s="382" t="str">
        <f>IFERROR(VLOOKUP(C77,'Biaya Siswa'!B:M,12,FALSE),"")</f>
        <v/>
      </c>
      <c r="F77" s="383"/>
      <c r="G77" s="384"/>
      <c r="H77" s="382"/>
      <c r="I77" s="384"/>
      <c r="J77" s="382"/>
      <c r="K77" s="384"/>
      <c r="L77" s="382"/>
      <c r="M77" s="384"/>
      <c r="N77" s="382"/>
      <c r="O77" s="384"/>
      <c r="P77" s="382"/>
      <c r="Q77" s="384"/>
      <c r="R77" s="383"/>
      <c r="S77" s="385"/>
      <c r="T77" s="386"/>
      <c r="U77" s="385"/>
      <c r="V77" s="386"/>
      <c r="W77" s="385"/>
      <c r="X77" s="386"/>
      <c r="Y77" s="385"/>
      <c r="Z77" s="386"/>
      <c r="AA77" s="385"/>
      <c r="AB77" s="383">
        <f t="shared" si="2"/>
        <v>0</v>
      </c>
      <c r="AC77" s="383" t="str">
        <f t="shared" si="3"/>
        <v/>
      </c>
      <c r="AD77" s="383"/>
      <c r="AE77" s="388"/>
    </row>
    <row r="78" spans="1:31">
      <c r="A78" s="267">
        <v>70</v>
      </c>
      <c r="B78" s="68"/>
      <c r="C78" s="234">
        <f>IFERROR('Biaya Siswa'!B85,"")</f>
        <v>0</v>
      </c>
      <c r="D78" s="233" t="str">
        <f>IFERROR(VLOOKUP(C78,'Biaya Siswa'!B:M,3,FALSE),"")</f>
        <v/>
      </c>
      <c r="E78" s="180" t="str">
        <f>IFERROR(VLOOKUP(C78,'Biaya Siswa'!B:M,12,FALSE),"")</f>
        <v/>
      </c>
      <c r="F78" s="69"/>
      <c r="G78" s="260"/>
      <c r="H78" s="181"/>
      <c r="I78" s="260"/>
      <c r="J78" s="181"/>
      <c r="K78" s="260"/>
      <c r="L78" s="181"/>
      <c r="M78" s="260"/>
      <c r="N78" s="181"/>
      <c r="O78" s="260"/>
      <c r="P78" s="181"/>
      <c r="Q78" s="260"/>
      <c r="R78" s="69"/>
      <c r="S78" s="197"/>
      <c r="T78" s="117"/>
      <c r="U78" s="197"/>
      <c r="V78" s="117"/>
      <c r="W78" s="197"/>
      <c r="X78" s="117"/>
      <c r="Y78" s="197"/>
      <c r="Z78" s="117"/>
      <c r="AA78" s="197"/>
      <c r="AB78" s="69">
        <f t="shared" si="2"/>
        <v>0</v>
      </c>
      <c r="AC78" s="69" t="str">
        <f t="shared" si="3"/>
        <v/>
      </c>
      <c r="AD78" s="69"/>
    </row>
    <row r="79" spans="1:31">
      <c r="A79" s="267">
        <v>71</v>
      </c>
      <c r="B79" s="68"/>
      <c r="C79" s="234">
        <f>IFERROR('Biaya Siswa'!B86,"")</f>
        <v>0</v>
      </c>
      <c r="D79" s="233" t="str">
        <f>IFERROR(VLOOKUP(C79,'Biaya Siswa'!B:M,3,FALSE),"")</f>
        <v/>
      </c>
      <c r="E79" s="180" t="str">
        <f>IFERROR(VLOOKUP(C79,'Biaya Siswa'!B:M,12,FALSE),"")</f>
        <v/>
      </c>
      <c r="F79" s="182"/>
      <c r="G79" s="260"/>
      <c r="H79" s="181"/>
      <c r="I79" s="260"/>
      <c r="J79" s="181"/>
      <c r="K79" s="260"/>
      <c r="L79" s="181"/>
      <c r="M79" s="260"/>
      <c r="N79" s="181"/>
      <c r="O79" s="260"/>
      <c r="P79" s="181"/>
      <c r="Q79" s="260"/>
      <c r="R79" s="182"/>
      <c r="S79" s="197"/>
      <c r="T79" s="183"/>
      <c r="U79" s="197"/>
      <c r="V79" s="183"/>
      <c r="W79" s="197"/>
      <c r="X79" s="183"/>
      <c r="Y79" s="197"/>
      <c r="Z79" s="183"/>
      <c r="AA79" s="197"/>
      <c r="AB79" s="69">
        <f t="shared" si="2"/>
        <v>0</v>
      </c>
      <c r="AC79" s="69" t="str">
        <f t="shared" si="3"/>
        <v/>
      </c>
      <c r="AD79" s="69"/>
    </row>
    <row r="80" spans="1:31">
      <c r="A80" s="267">
        <v>72</v>
      </c>
      <c r="B80" s="68"/>
      <c r="C80" s="234">
        <f>IFERROR('Biaya Siswa'!B87,"")</f>
        <v>0</v>
      </c>
      <c r="D80" s="233" t="str">
        <f>IFERROR(VLOOKUP(C80,'Biaya Siswa'!B:M,3,FALSE),"")</f>
        <v/>
      </c>
      <c r="E80" s="180" t="str">
        <f>IFERROR(VLOOKUP(C80,'Biaya Siswa'!B:M,12,FALSE),"")</f>
        <v/>
      </c>
      <c r="F80" s="182"/>
      <c r="G80" s="260"/>
      <c r="H80" s="181"/>
      <c r="I80" s="260"/>
      <c r="J80" s="181"/>
      <c r="K80" s="260"/>
      <c r="L80" s="181"/>
      <c r="M80" s="260"/>
      <c r="N80" s="181"/>
      <c r="O80" s="260"/>
      <c r="P80" s="181"/>
      <c r="Q80" s="260"/>
      <c r="R80" s="182"/>
      <c r="S80" s="197"/>
      <c r="T80" s="183"/>
      <c r="U80" s="197"/>
      <c r="V80" s="183"/>
      <c r="W80" s="197"/>
      <c r="X80" s="183"/>
      <c r="Y80" s="197"/>
      <c r="Z80" s="183"/>
      <c r="AA80" s="197"/>
      <c r="AB80" s="69">
        <f t="shared" si="2"/>
        <v>0</v>
      </c>
      <c r="AC80" s="69" t="str">
        <f t="shared" si="3"/>
        <v/>
      </c>
      <c r="AD80" s="69"/>
    </row>
    <row r="81" spans="1:30">
      <c r="A81" s="267">
        <v>73</v>
      </c>
      <c r="B81" s="68"/>
      <c r="C81" s="234">
        <f>IFERROR('Biaya Siswa'!B88,"")</f>
        <v>0</v>
      </c>
      <c r="D81" s="233" t="str">
        <f>IFERROR(VLOOKUP(C81,'Biaya Siswa'!B:M,3,FALSE),"")</f>
        <v/>
      </c>
      <c r="E81" s="180" t="str">
        <f>IFERROR(VLOOKUP(C81,'Biaya Siswa'!B:M,12,FALSE),"")</f>
        <v/>
      </c>
      <c r="F81" s="69"/>
      <c r="G81" s="260"/>
      <c r="H81" s="181"/>
      <c r="I81" s="260"/>
      <c r="J81" s="181"/>
      <c r="K81" s="260"/>
      <c r="L81" s="181"/>
      <c r="M81" s="260"/>
      <c r="N81" s="181"/>
      <c r="O81" s="260"/>
      <c r="P81" s="181"/>
      <c r="Q81" s="260"/>
      <c r="R81" s="69"/>
      <c r="S81" s="197"/>
      <c r="T81" s="117"/>
      <c r="U81" s="197"/>
      <c r="V81" s="117"/>
      <c r="W81" s="197"/>
      <c r="X81" s="117"/>
      <c r="Y81" s="197"/>
      <c r="Z81" s="117"/>
      <c r="AA81" s="197"/>
      <c r="AB81" s="69">
        <f t="shared" si="2"/>
        <v>0</v>
      </c>
      <c r="AC81" s="69" t="str">
        <f t="shared" si="3"/>
        <v/>
      </c>
      <c r="AD81" s="69"/>
    </row>
    <row r="82" spans="1:30">
      <c r="A82" s="267">
        <v>74</v>
      </c>
      <c r="B82" s="68"/>
      <c r="C82" s="234">
        <f>IFERROR('Biaya Siswa'!B89,"")</f>
        <v>0</v>
      </c>
      <c r="D82" s="233" t="str">
        <f>IFERROR(VLOOKUP(C82,'Biaya Siswa'!B:M,3,FALSE),"")</f>
        <v/>
      </c>
      <c r="E82" s="180" t="str">
        <f>IFERROR(VLOOKUP(C82,'Biaya Siswa'!B:M,12,FALSE),"")</f>
        <v/>
      </c>
      <c r="F82" s="69"/>
      <c r="G82" s="260"/>
      <c r="H82" s="181"/>
      <c r="I82" s="260"/>
      <c r="J82" s="181"/>
      <c r="K82" s="260"/>
      <c r="L82" s="181"/>
      <c r="M82" s="260"/>
      <c r="N82" s="181"/>
      <c r="O82" s="260"/>
      <c r="P82" s="181"/>
      <c r="Q82" s="260"/>
      <c r="R82" s="69"/>
      <c r="S82" s="197"/>
      <c r="T82" s="117"/>
      <c r="U82" s="197"/>
      <c r="V82" s="117"/>
      <c r="W82" s="197"/>
      <c r="X82" s="117"/>
      <c r="Y82" s="197"/>
      <c r="Z82" s="117"/>
      <c r="AA82" s="197"/>
      <c r="AB82" s="69">
        <f t="shared" si="2"/>
        <v>0</v>
      </c>
      <c r="AC82" s="69" t="str">
        <f t="shared" si="3"/>
        <v/>
      </c>
      <c r="AD82" s="69"/>
    </row>
    <row r="83" spans="1:30">
      <c r="A83" s="267">
        <v>75</v>
      </c>
      <c r="B83" s="68"/>
      <c r="C83" s="234">
        <f>IFERROR('Biaya Siswa'!B90,"")</f>
        <v>0</v>
      </c>
      <c r="D83" s="233" t="str">
        <f>IFERROR(VLOOKUP(C83,'Biaya Siswa'!B:M,3,FALSE),"")</f>
        <v/>
      </c>
      <c r="E83" s="180" t="str">
        <f>IFERROR(VLOOKUP(C83,'Biaya Siswa'!B:M,12,FALSE),"")</f>
        <v/>
      </c>
      <c r="F83" s="186"/>
      <c r="G83" s="260"/>
      <c r="H83" s="181"/>
      <c r="I83" s="260"/>
      <c r="J83" s="181"/>
      <c r="K83" s="260"/>
      <c r="L83" s="181"/>
      <c r="M83" s="260"/>
      <c r="N83" s="181"/>
      <c r="O83" s="260"/>
      <c r="P83" s="181"/>
      <c r="Q83" s="260"/>
      <c r="R83" s="69"/>
      <c r="S83" s="197"/>
      <c r="T83" s="117"/>
      <c r="U83" s="197"/>
      <c r="V83" s="117"/>
      <c r="W83" s="197"/>
      <c r="X83" s="117"/>
      <c r="Y83" s="197"/>
      <c r="Z83" s="117"/>
      <c r="AA83" s="197"/>
      <c r="AB83" s="69">
        <f t="shared" si="2"/>
        <v>0</v>
      </c>
      <c r="AC83" s="69" t="str">
        <f t="shared" si="3"/>
        <v/>
      </c>
      <c r="AD83" s="69"/>
    </row>
    <row r="84" spans="1:30">
      <c r="A84" s="267">
        <v>76</v>
      </c>
      <c r="B84" s="68"/>
      <c r="C84" s="234">
        <f>IFERROR('Biaya Siswa'!B91,"")</f>
        <v>0</v>
      </c>
      <c r="D84" s="233" t="str">
        <f>IFERROR(VLOOKUP(C84,'Biaya Siswa'!B:M,3,FALSE),"")</f>
        <v/>
      </c>
      <c r="E84" s="180" t="str">
        <f>IFERROR(VLOOKUP(C84,'Biaya Siswa'!B:M,12,FALSE),"")</f>
        <v/>
      </c>
      <c r="F84" s="69"/>
      <c r="G84" s="260"/>
      <c r="H84" s="181"/>
      <c r="I84" s="260"/>
      <c r="J84" s="181"/>
      <c r="K84" s="260"/>
      <c r="L84" s="181"/>
      <c r="M84" s="260"/>
      <c r="N84" s="181"/>
      <c r="O84" s="260"/>
      <c r="P84" s="181"/>
      <c r="Q84" s="260"/>
      <c r="R84" s="69"/>
      <c r="S84" s="197"/>
      <c r="T84" s="117"/>
      <c r="U84" s="197"/>
      <c r="V84" s="117"/>
      <c r="W84" s="197"/>
      <c r="X84" s="117"/>
      <c r="Y84" s="197"/>
      <c r="Z84" s="117"/>
      <c r="AA84" s="197"/>
      <c r="AB84" s="69">
        <f t="shared" si="2"/>
        <v>0</v>
      </c>
      <c r="AC84" s="69" t="str">
        <f t="shared" si="3"/>
        <v/>
      </c>
      <c r="AD84" s="69"/>
    </row>
    <row r="85" spans="1:30">
      <c r="A85" s="267">
        <v>77</v>
      </c>
      <c r="B85" s="68"/>
      <c r="C85" s="234">
        <f>IFERROR('Biaya Siswa'!B92,"")</f>
        <v>0</v>
      </c>
      <c r="D85" s="233" t="str">
        <f>IFERROR(VLOOKUP(C85,'Biaya Siswa'!B:M,3,FALSE),"")</f>
        <v/>
      </c>
      <c r="E85" s="180" t="str">
        <f>IFERROR(VLOOKUP(C85,'Biaya Siswa'!B:M,12,FALSE),"")</f>
        <v/>
      </c>
      <c r="F85" s="69"/>
      <c r="G85" s="260"/>
      <c r="H85" s="181"/>
      <c r="I85" s="260"/>
      <c r="J85" s="181"/>
      <c r="K85" s="260"/>
      <c r="L85" s="181"/>
      <c r="M85" s="260"/>
      <c r="N85" s="181"/>
      <c r="O85" s="260"/>
      <c r="P85" s="181"/>
      <c r="Q85" s="260"/>
      <c r="R85" s="69"/>
      <c r="S85" s="197"/>
      <c r="T85" s="117"/>
      <c r="U85" s="197"/>
      <c r="V85" s="117"/>
      <c r="W85" s="197"/>
      <c r="X85" s="117"/>
      <c r="Y85" s="197"/>
      <c r="Z85" s="117"/>
      <c r="AA85" s="197"/>
      <c r="AB85" s="69">
        <f t="shared" si="2"/>
        <v>0</v>
      </c>
      <c r="AC85" s="69" t="str">
        <f t="shared" si="3"/>
        <v/>
      </c>
      <c r="AD85" s="69"/>
    </row>
    <row r="86" spans="1:30">
      <c r="A86" s="267">
        <v>78</v>
      </c>
      <c r="B86" s="68"/>
      <c r="C86" s="234">
        <f>IFERROR('Biaya Siswa'!B93,"")</f>
        <v>0</v>
      </c>
      <c r="D86" s="233" t="str">
        <f>IFERROR(VLOOKUP(C86,'Biaya Siswa'!B:M,3,FALSE),"")</f>
        <v/>
      </c>
      <c r="E86" s="180" t="str">
        <f>IFERROR(VLOOKUP(C86,'Biaya Siswa'!B:M,12,FALSE),"")</f>
        <v/>
      </c>
      <c r="F86" s="69"/>
      <c r="G86" s="260"/>
      <c r="H86" s="181"/>
      <c r="I86" s="260"/>
      <c r="J86" s="181"/>
      <c r="K86" s="260"/>
      <c r="L86" s="181"/>
      <c r="M86" s="260"/>
      <c r="N86" s="181"/>
      <c r="O86" s="260"/>
      <c r="P86" s="181"/>
      <c r="Q86" s="260"/>
      <c r="R86" s="69"/>
      <c r="S86" s="197"/>
      <c r="T86" s="117"/>
      <c r="U86" s="197"/>
      <c r="V86" s="117"/>
      <c r="W86" s="197"/>
      <c r="X86" s="117"/>
      <c r="Y86" s="197"/>
      <c r="Z86" s="117"/>
      <c r="AA86" s="197"/>
      <c r="AB86" s="69">
        <f t="shared" si="2"/>
        <v>0</v>
      </c>
      <c r="AC86" s="69" t="str">
        <f t="shared" si="3"/>
        <v/>
      </c>
      <c r="AD86" s="69"/>
    </row>
    <row r="87" spans="1:30">
      <c r="A87" s="267">
        <v>79</v>
      </c>
      <c r="B87" s="68"/>
      <c r="C87" s="234">
        <f>IFERROR('Biaya Siswa'!B94,"")</f>
        <v>0</v>
      </c>
      <c r="D87" s="233" t="str">
        <f>IFERROR(VLOOKUP(C87,'Biaya Siswa'!B:M,3,FALSE),"")</f>
        <v/>
      </c>
      <c r="E87" s="180" t="str">
        <f>IFERROR(VLOOKUP(C87,'Biaya Siswa'!B:M,12,FALSE),"")</f>
        <v/>
      </c>
      <c r="F87" s="69"/>
      <c r="G87" s="260"/>
      <c r="H87" s="181"/>
      <c r="I87" s="260"/>
      <c r="J87" s="181"/>
      <c r="K87" s="260"/>
      <c r="L87" s="181"/>
      <c r="M87" s="260"/>
      <c r="N87" s="181"/>
      <c r="O87" s="260"/>
      <c r="P87" s="181"/>
      <c r="Q87" s="260"/>
      <c r="R87" s="69"/>
      <c r="S87" s="197"/>
      <c r="T87" s="117"/>
      <c r="U87" s="197"/>
      <c r="V87" s="117"/>
      <c r="W87" s="197"/>
      <c r="X87" s="117"/>
      <c r="Y87" s="197"/>
      <c r="Z87" s="117"/>
      <c r="AA87" s="197"/>
      <c r="AB87" s="69">
        <f t="shared" si="2"/>
        <v>0</v>
      </c>
      <c r="AC87" s="69" t="str">
        <f t="shared" si="3"/>
        <v/>
      </c>
      <c r="AD87" s="69"/>
    </row>
    <row r="88" spans="1:30">
      <c r="A88" s="267">
        <v>80</v>
      </c>
      <c r="B88" s="68"/>
      <c r="C88" s="234">
        <f>IFERROR('Biaya Siswa'!B95,"")</f>
        <v>0</v>
      </c>
      <c r="D88" s="233" t="str">
        <f>IFERROR(VLOOKUP(C88,'Biaya Siswa'!B:M,3,FALSE),"")</f>
        <v/>
      </c>
      <c r="E88" s="180" t="str">
        <f>IFERROR(VLOOKUP(C88,'Biaya Siswa'!B:M,12,FALSE),"")</f>
        <v/>
      </c>
      <c r="F88" s="69"/>
      <c r="G88" s="260"/>
      <c r="H88" s="181"/>
      <c r="I88" s="260"/>
      <c r="J88" s="181"/>
      <c r="K88" s="260"/>
      <c r="L88" s="181"/>
      <c r="M88" s="260"/>
      <c r="N88" s="181"/>
      <c r="O88" s="260"/>
      <c r="P88" s="181"/>
      <c r="Q88" s="260"/>
      <c r="R88" s="69"/>
      <c r="S88" s="197"/>
      <c r="T88" s="117"/>
      <c r="U88" s="197"/>
      <c r="V88" s="117"/>
      <c r="W88" s="197"/>
      <c r="X88" s="117"/>
      <c r="Y88" s="197"/>
      <c r="Z88" s="117"/>
      <c r="AA88" s="197"/>
      <c r="AB88" s="69">
        <f t="shared" si="2"/>
        <v>0</v>
      </c>
      <c r="AC88" s="69" t="str">
        <f t="shared" si="3"/>
        <v/>
      </c>
      <c r="AD88" s="69"/>
    </row>
    <row r="89" spans="1:30">
      <c r="A89" s="267">
        <v>81</v>
      </c>
      <c r="B89" s="68"/>
      <c r="C89" s="234">
        <f>IFERROR('Biaya Siswa'!B96,"")</f>
        <v>0</v>
      </c>
      <c r="D89" s="233" t="str">
        <f>IFERROR(VLOOKUP(C89,'Biaya Siswa'!B:M,3,FALSE),"")</f>
        <v/>
      </c>
      <c r="E89" s="180" t="str">
        <f>IFERROR(VLOOKUP(C89,'Biaya Siswa'!B:M,12,FALSE),"")</f>
        <v/>
      </c>
      <c r="F89" s="69"/>
      <c r="G89" s="260"/>
      <c r="H89" s="181"/>
      <c r="I89" s="260"/>
      <c r="J89" s="181"/>
      <c r="K89" s="260"/>
      <c r="L89" s="181"/>
      <c r="M89" s="260"/>
      <c r="N89" s="181"/>
      <c r="O89" s="260"/>
      <c r="P89" s="181"/>
      <c r="Q89" s="260"/>
      <c r="R89" s="69"/>
      <c r="S89" s="197"/>
      <c r="T89" s="117"/>
      <c r="U89" s="197"/>
      <c r="V89" s="117"/>
      <c r="W89" s="197"/>
      <c r="X89" s="117"/>
      <c r="Y89" s="197"/>
      <c r="Z89" s="117"/>
      <c r="AA89" s="197"/>
      <c r="AB89" s="69">
        <f t="shared" si="2"/>
        <v>0</v>
      </c>
      <c r="AC89" s="69" t="str">
        <f t="shared" si="3"/>
        <v/>
      </c>
      <c r="AD89" s="69"/>
    </row>
    <row r="90" spans="1:30">
      <c r="A90" s="267">
        <v>82</v>
      </c>
      <c r="B90" s="68"/>
      <c r="C90" s="234">
        <f>IFERROR('Biaya Siswa'!B97,"")</f>
        <v>0</v>
      </c>
      <c r="D90" s="233" t="str">
        <f>IFERROR(VLOOKUP(C90,'Biaya Siswa'!B:M,3,FALSE),"")</f>
        <v/>
      </c>
      <c r="E90" s="180" t="str">
        <f>IFERROR(VLOOKUP(C90,'Biaya Siswa'!B:M,12,FALSE),"")</f>
        <v/>
      </c>
      <c r="F90" s="69"/>
      <c r="G90" s="260"/>
      <c r="H90" s="181"/>
      <c r="I90" s="260"/>
      <c r="J90" s="181"/>
      <c r="K90" s="260"/>
      <c r="L90" s="181"/>
      <c r="M90" s="260"/>
      <c r="N90" s="181"/>
      <c r="O90" s="260"/>
      <c r="P90" s="181"/>
      <c r="Q90" s="260"/>
      <c r="R90" s="69"/>
      <c r="S90" s="197"/>
      <c r="T90" s="117"/>
      <c r="U90" s="197"/>
      <c r="V90" s="117"/>
      <c r="W90" s="197"/>
      <c r="X90" s="117"/>
      <c r="Y90" s="197"/>
      <c r="Z90" s="117"/>
      <c r="AA90" s="197"/>
      <c r="AB90" s="69">
        <f t="shared" si="2"/>
        <v>0</v>
      </c>
      <c r="AC90" s="69" t="str">
        <f t="shared" si="3"/>
        <v/>
      </c>
      <c r="AD90" s="69"/>
    </row>
    <row r="91" spans="1:30">
      <c r="A91" s="267">
        <v>83</v>
      </c>
      <c r="B91" s="68"/>
      <c r="C91" s="234">
        <f>IFERROR('Biaya Siswa'!B98,"")</f>
        <v>0</v>
      </c>
      <c r="D91" s="233" t="str">
        <f>IFERROR(VLOOKUP(C91,'Biaya Siswa'!B:M,3,FALSE),"")</f>
        <v/>
      </c>
      <c r="E91" s="180" t="str">
        <f>IFERROR(VLOOKUP(C91,'Biaya Siswa'!B:M,12,FALSE),"")</f>
        <v/>
      </c>
      <c r="F91" s="69"/>
      <c r="G91" s="260"/>
      <c r="H91" s="181"/>
      <c r="I91" s="260"/>
      <c r="J91" s="181"/>
      <c r="K91" s="260"/>
      <c r="L91" s="181"/>
      <c r="M91" s="260"/>
      <c r="N91" s="181"/>
      <c r="O91" s="260"/>
      <c r="P91" s="181"/>
      <c r="Q91" s="260"/>
      <c r="R91" s="69"/>
      <c r="S91" s="197"/>
      <c r="T91" s="117"/>
      <c r="U91" s="197"/>
      <c r="V91" s="117"/>
      <c r="W91" s="197"/>
      <c r="X91" s="117"/>
      <c r="Y91" s="197"/>
      <c r="Z91" s="117"/>
      <c r="AA91" s="197"/>
      <c r="AB91" s="69">
        <f t="shared" si="2"/>
        <v>0</v>
      </c>
      <c r="AC91" s="69" t="str">
        <f t="shared" si="3"/>
        <v/>
      </c>
      <c r="AD91" s="69"/>
    </row>
    <row r="92" spans="1:30">
      <c r="A92" s="267">
        <v>84</v>
      </c>
      <c r="B92" s="68"/>
      <c r="C92" s="234">
        <f>IFERROR('Biaya Siswa'!B99,"")</f>
        <v>0</v>
      </c>
      <c r="D92" s="233" t="str">
        <f>IFERROR(VLOOKUP(C92,'Biaya Siswa'!B:M,3,FALSE),"")</f>
        <v/>
      </c>
      <c r="E92" s="180" t="str">
        <f>IFERROR(VLOOKUP(C92,'Biaya Siswa'!B:M,12,FALSE),"")</f>
        <v/>
      </c>
      <c r="F92" s="69"/>
      <c r="G92" s="260"/>
      <c r="H92" s="181"/>
      <c r="I92" s="260"/>
      <c r="J92" s="181"/>
      <c r="K92" s="260"/>
      <c r="L92" s="181"/>
      <c r="M92" s="260"/>
      <c r="N92" s="181"/>
      <c r="O92" s="260"/>
      <c r="P92" s="181"/>
      <c r="Q92" s="260"/>
      <c r="R92" s="69"/>
      <c r="S92" s="197"/>
      <c r="T92" s="117"/>
      <c r="U92" s="197"/>
      <c r="V92" s="117"/>
      <c r="W92" s="197"/>
      <c r="X92" s="117"/>
      <c r="Y92" s="197"/>
      <c r="Z92" s="117"/>
      <c r="AA92" s="197"/>
      <c r="AB92" s="69">
        <f t="shared" si="2"/>
        <v>0</v>
      </c>
      <c r="AC92" s="69" t="str">
        <f t="shared" si="3"/>
        <v/>
      </c>
      <c r="AD92" s="69"/>
    </row>
    <row r="93" spans="1:30">
      <c r="A93" s="267">
        <v>85</v>
      </c>
      <c r="B93" s="68"/>
      <c r="C93" s="234">
        <f>IFERROR('Biaya Siswa'!B100,"")</f>
        <v>0</v>
      </c>
      <c r="D93" s="233" t="str">
        <f>IFERROR(VLOOKUP(C93,'Biaya Siswa'!B:M,3,FALSE),"")</f>
        <v/>
      </c>
      <c r="E93" s="180" t="str">
        <f>IFERROR(VLOOKUP(C93,'Biaya Siswa'!B:M,12,FALSE),"")</f>
        <v/>
      </c>
      <c r="F93" s="69"/>
      <c r="G93" s="260"/>
      <c r="H93" s="181"/>
      <c r="I93" s="260"/>
      <c r="J93" s="181"/>
      <c r="K93" s="260"/>
      <c r="L93" s="181"/>
      <c r="M93" s="260"/>
      <c r="N93" s="181"/>
      <c r="O93" s="260"/>
      <c r="P93" s="181"/>
      <c r="Q93" s="260"/>
      <c r="R93" s="69"/>
      <c r="S93" s="197"/>
      <c r="T93" s="117"/>
      <c r="U93" s="197"/>
      <c r="V93" s="117"/>
      <c r="W93" s="197"/>
      <c r="X93" s="117"/>
      <c r="Y93" s="197"/>
      <c r="Z93" s="117"/>
      <c r="AA93" s="197"/>
      <c r="AB93" s="69">
        <f t="shared" si="2"/>
        <v>0</v>
      </c>
      <c r="AC93" s="69" t="str">
        <f t="shared" si="3"/>
        <v/>
      </c>
      <c r="AD93" s="69"/>
    </row>
    <row r="94" spans="1:30">
      <c r="A94" s="267">
        <v>86</v>
      </c>
      <c r="B94" s="68"/>
      <c r="C94" s="234">
        <f>IFERROR('Biaya Siswa'!B101,"")</f>
        <v>0</v>
      </c>
      <c r="D94" s="233" t="str">
        <f>IFERROR(VLOOKUP(C94,'Biaya Siswa'!B:M,3,FALSE),"")</f>
        <v/>
      </c>
      <c r="E94" s="180" t="str">
        <f>IFERROR(VLOOKUP(C94,'Biaya Siswa'!B:M,12,FALSE),"")</f>
        <v/>
      </c>
      <c r="F94" s="69"/>
      <c r="G94" s="260"/>
      <c r="H94" s="181"/>
      <c r="I94" s="260"/>
      <c r="J94" s="181"/>
      <c r="K94" s="260"/>
      <c r="L94" s="181"/>
      <c r="M94" s="260"/>
      <c r="N94" s="181"/>
      <c r="O94" s="260"/>
      <c r="P94" s="181"/>
      <c r="Q94" s="260"/>
      <c r="R94" s="69"/>
      <c r="S94" s="197"/>
      <c r="T94" s="117"/>
      <c r="U94" s="197"/>
      <c r="V94" s="117"/>
      <c r="W94" s="197"/>
      <c r="X94" s="117"/>
      <c r="Y94" s="197"/>
      <c r="Z94" s="117"/>
      <c r="AA94" s="197"/>
      <c r="AB94" s="69">
        <f t="shared" si="2"/>
        <v>0</v>
      </c>
      <c r="AC94" s="69" t="str">
        <f t="shared" si="3"/>
        <v/>
      </c>
      <c r="AD94" s="69"/>
    </row>
    <row r="95" spans="1:30">
      <c r="A95" s="267">
        <v>87</v>
      </c>
      <c r="B95" s="68"/>
      <c r="C95" s="234">
        <f>IFERROR('Biaya Siswa'!B102,"")</f>
        <v>0</v>
      </c>
      <c r="D95" s="233" t="str">
        <f>IFERROR(VLOOKUP(C95,'Biaya Siswa'!B:M,3,FALSE),"")</f>
        <v/>
      </c>
      <c r="E95" s="180" t="str">
        <f>IFERROR(VLOOKUP(C95,'Biaya Siswa'!B:M,12,FALSE),"")</f>
        <v/>
      </c>
      <c r="F95" s="69"/>
      <c r="G95" s="260"/>
      <c r="H95" s="181"/>
      <c r="I95" s="260"/>
      <c r="J95" s="181"/>
      <c r="K95" s="260"/>
      <c r="L95" s="181"/>
      <c r="M95" s="260"/>
      <c r="N95" s="181"/>
      <c r="O95" s="260"/>
      <c r="P95" s="181"/>
      <c r="Q95" s="260"/>
      <c r="R95" s="69"/>
      <c r="S95" s="197"/>
      <c r="T95" s="117"/>
      <c r="U95" s="197"/>
      <c r="V95" s="117"/>
      <c r="W95" s="197"/>
      <c r="X95" s="117"/>
      <c r="Y95" s="197"/>
      <c r="Z95" s="117"/>
      <c r="AA95" s="197"/>
      <c r="AB95" s="69">
        <f t="shared" si="2"/>
        <v>0</v>
      </c>
      <c r="AC95" s="69" t="str">
        <f t="shared" si="3"/>
        <v/>
      </c>
      <c r="AD95" s="69"/>
    </row>
    <row r="96" spans="1:30">
      <c r="A96" s="267">
        <v>88</v>
      </c>
      <c r="B96" s="68"/>
      <c r="C96" s="234">
        <f>IFERROR('Biaya Siswa'!B103,"")</f>
        <v>0</v>
      </c>
      <c r="D96" s="233" t="str">
        <f>IFERROR(VLOOKUP(C96,'Biaya Siswa'!B:M,3,FALSE),"")</f>
        <v/>
      </c>
      <c r="E96" s="180" t="str">
        <f>IFERROR(VLOOKUP(C96,'Biaya Siswa'!B:M,12,FALSE),"")</f>
        <v/>
      </c>
      <c r="F96" s="69"/>
      <c r="G96" s="260"/>
      <c r="H96" s="181"/>
      <c r="I96" s="260"/>
      <c r="J96" s="181"/>
      <c r="K96" s="260"/>
      <c r="L96" s="181"/>
      <c r="M96" s="260"/>
      <c r="N96" s="181"/>
      <c r="O96" s="260"/>
      <c r="P96" s="181"/>
      <c r="Q96" s="260"/>
      <c r="R96" s="69"/>
      <c r="S96" s="197"/>
      <c r="T96" s="117"/>
      <c r="U96" s="197"/>
      <c r="V96" s="117"/>
      <c r="W96" s="197"/>
      <c r="X96" s="117"/>
      <c r="Y96" s="197"/>
      <c r="Z96" s="117"/>
      <c r="AA96" s="197"/>
      <c r="AB96" s="69">
        <f t="shared" si="2"/>
        <v>0</v>
      </c>
      <c r="AC96" s="69" t="str">
        <f t="shared" si="3"/>
        <v/>
      </c>
      <c r="AD96" s="69"/>
    </row>
    <row r="97" spans="1:33">
      <c r="A97" s="267">
        <v>89</v>
      </c>
      <c r="B97" s="68"/>
      <c r="C97" s="234">
        <f>IFERROR('Biaya Siswa'!B104,"")</f>
        <v>0</v>
      </c>
      <c r="D97" s="233" t="str">
        <f>IFERROR(VLOOKUP(C97,'Biaya Siswa'!B:M,3,FALSE),"")</f>
        <v/>
      </c>
      <c r="E97" s="180" t="str">
        <f>IFERROR(VLOOKUP(C97,'Biaya Siswa'!B:M,12,FALSE),"")</f>
        <v/>
      </c>
      <c r="F97" s="69"/>
      <c r="G97" s="260"/>
      <c r="H97" s="181"/>
      <c r="I97" s="260"/>
      <c r="J97" s="181"/>
      <c r="K97" s="260"/>
      <c r="L97" s="181"/>
      <c r="M97" s="260"/>
      <c r="N97" s="181"/>
      <c r="O97" s="260"/>
      <c r="P97" s="181"/>
      <c r="Q97" s="260"/>
      <c r="R97" s="69"/>
      <c r="S97" s="197"/>
      <c r="T97" s="117"/>
      <c r="U97" s="197"/>
      <c r="V97" s="117"/>
      <c r="W97" s="197"/>
      <c r="X97" s="117"/>
      <c r="Y97" s="197"/>
      <c r="Z97" s="117"/>
      <c r="AA97" s="197"/>
      <c r="AB97" s="69">
        <f t="shared" si="2"/>
        <v>0</v>
      </c>
      <c r="AC97" s="69" t="str">
        <f t="shared" si="3"/>
        <v/>
      </c>
      <c r="AD97" s="69"/>
    </row>
    <row r="98" spans="1:33">
      <c r="A98" s="267">
        <v>90</v>
      </c>
      <c r="B98" s="68"/>
      <c r="C98" s="234">
        <f>IFERROR('Biaya Siswa'!B105,"")</f>
        <v>0</v>
      </c>
      <c r="D98" s="233" t="str">
        <f>IFERROR(VLOOKUP(C98,'Biaya Siswa'!B:M,3,FALSE),"")</f>
        <v/>
      </c>
      <c r="E98" s="180" t="str">
        <f>IFERROR(VLOOKUP(C98,'Biaya Siswa'!B:M,12,FALSE),"")</f>
        <v/>
      </c>
      <c r="F98" s="69"/>
      <c r="G98" s="260"/>
      <c r="H98" s="181"/>
      <c r="I98" s="260"/>
      <c r="J98" s="181"/>
      <c r="K98" s="260"/>
      <c r="L98" s="181"/>
      <c r="M98" s="260"/>
      <c r="N98" s="181"/>
      <c r="O98" s="260"/>
      <c r="P98" s="181"/>
      <c r="Q98" s="260"/>
      <c r="R98" s="69"/>
      <c r="S98" s="197"/>
      <c r="T98" s="117"/>
      <c r="U98" s="197"/>
      <c r="V98" s="117"/>
      <c r="W98" s="197"/>
      <c r="X98" s="117"/>
      <c r="Y98" s="197"/>
      <c r="Z98" s="117"/>
      <c r="AA98" s="197"/>
      <c r="AB98" s="69">
        <f t="shared" si="2"/>
        <v>0</v>
      </c>
      <c r="AC98" s="69" t="str">
        <f t="shared" si="3"/>
        <v/>
      </c>
      <c r="AD98" s="69"/>
    </row>
    <row r="99" spans="1:33">
      <c r="A99" s="267">
        <v>91</v>
      </c>
      <c r="B99" s="68"/>
      <c r="C99" s="234">
        <f>IFERROR('Biaya Siswa'!B106,"")</f>
        <v>0</v>
      </c>
      <c r="D99" s="158"/>
      <c r="E99" s="180" t="str">
        <f>IFERROR(VLOOKUP(C99,'Biaya Siswa'!B:M,12,FALSE),"")</f>
        <v/>
      </c>
      <c r="F99" s="69"/>
      <c r="G99" s="260"/>
      <c r="H99" s="181"/>
      <c r="I99" s="260"/>
      <c r="J99" s="181"/>
      <c r="K99" s="260"/>
      <c r="L99" s="181"/>
      <c r="M99" s="260"/>
      <c r="N99" s="181"/>
      <c r="O99" s="260"/>
      <c r="P99" s="181"/>
      <c r="Q99" s="260"/>
      <c r="R99" s="69"/>
      <c r="S99" s="197"/>
      <c r="T99" s="117"/>
      <c r="U99" s="197"/>
      <c r="V99" s="117"/>
      <c r="W99" s="197"/>
      <c r="X99" s="117"/>
      <c r="Y99" s="197"/>
      <c r="Z99" s="117"/>
      <c r="AA99" s="197"/>
      <c r="AB99" s="69">
        <f t="shared" si="2"/>
        <v>0</v>
      </c>
      <c r="AC99" s="69" t="str">
        <f t="shared" si="3"/>
        <v/>
      </c>
      <c r="AD99" s="69"/>
    </row>
    <row r="100" spans="1:33" s="175" customFormat="1">
      <c r="A100" s="143"/>
      <c r="B100" s="187"/>
      <c r="C100" s="187"/>
      <c r="D100" s="144"/>
      <c r="E100" s="188">
        <f t="shared" ref="E100:F100" si="4">SUM(E9:E99)</f>
        <v>0</v>
      </c>
      <c r="F100" s="188">
        <f t="shared" si="4"/>
        <v>0</v>
      </c>
      <c r="G100" s="189"/>
      <c r="H100" s="188">
        <f>SUM(H9:H99)</f>
        <v>0</v>
      </c>
      <c r="I100" s="189"/>
      <c r="J100" s="188">
        <f>SUM(J9:J99)</f>
        <v>0</v>
      </c>
      <c r="K100" s="189"/>
      <c r="L100" s="188">
        <f>SUM(L9:L99)</f>
        <v>0</v>
      </c>
      <c r="M100" s="189"/>
      <c r="N100" s="188">
        <f>SUM(N9:N99)</f>
        <v>0</v>
      </c>
      <c r="O100" s="189"/>
      <c r="P100" s="188">
        <f>SUM(P9:P99)</f>
        <v>0</v>
      </c>
      <c r="Q100" s="190"/>
      <c r="R100" s="188">
        <f>SUM(R9:R99)</f>
        <v>0</v>
      </c>
      <c r="S100" s="191"/>
      <c r="T100" s="188">
        <f>SUM(T9:T99)</f>
        <v>0</v>
      </c>
      <c r="U100" s="190"/>
      <c r="V100" s="188">
        <f>SUM(V9:V99)</f>
        <v>0</v>
      </c>
      <c r="W100" s="190"/>
      <c r="X100" s="188">
        <f>SUM(X9:X99)</f>
        <v>0</v>
      </c>
      <c r="Y100" s="190"/>
      <c r="Z100" s="188">
        <f>SUM(Z9:Z99)</f>
        <v>0</v>
      </c>
      <c r="AA100" s="190"/>
      <c r="AB100" s="188">
        <f>SUM(AB9:AB99)</f>
        <v>0</v>
      </c>
      <c r="AC100" s="188">
        <f>SUM(AC9:AC99)</f>
        <v>0</v>
      </c>
      <c r="AD100" s="192"/>
      <c r="AE100" s="298"/>
    </row>
    <row r="101" spans="1:33" s="175" customFormat="1">
      <c r="A101" s="72"/>
      <c r="B101" s="73"/>
      <c r="C101" s="73"/>
      <c r="D101" s="73"/>
      <c r="E101" s="192"/>
      <c r="F101" s="192"/>
      <c r="G101" s="191"/>
      <c r="H101" s="193"/>
      <c r="I101" s="190"/>
      <c r="J101" s="192"/>
      <c r="K101" s="191"/>
      <c r="L101" s="193"/>
      <c r="M101" s="190"/>
      <c r="N101" s="192"/>
      <c r="O101" s="191"/>
      <c r="P101" s="193"/>
      <c r="Q101" s="191"/>
      <c r="R101" s="192"/>
      <c r="S101" s="191"/>
      <c r="T101" s="193"/>
      <c r="U101" s="191"/>
      <c r="V101" s="193"/>
      <c r="W101" s="191"/>
      <c r="X101" s="193"/>
      <c r="Y101" s="190"/>
      <c r="Z101" s="193"/>
      <c r="AA101" s="190"/>
      <c r="AB101" s="192"/>
      <c r="AC101" s="192"/>
      <c r="AD101" s="193"/>
      <c r="AE101" s="170"/>
      <c r="AF101" s="16"/>
      <c r="AG101" s="16"/>
    </row>
    <row r="102" spans="1:33">
      <c r="A102" s="71"/>
      <c r="B102" s="71"/>
      <c r="C102" s="71"/>
      <c r="D102" s="71"/>
      <c r="H102" s="172"/>
      <c r="I102" s="173"/>
      <c r="J102" s="71"/>
      <c r="K102" s="173"/>
      <c r="L102" s="172"/>
      <c r="M102" s="173"/>
      <c r="N102" s="71"/>
      <c r="O102" s="173"/>
      <c r="P102" s="172"/>
      <c r="Q102" s="173"/>
      <c r="T102" s="172"/>
      <c r="U102" s="173"/>
      <c r="V102" s="172"/>
      <c r="W102" s="173"/>
      <c r="X102" s="172"/>
      <c r="Y102" s="173"/>
      <c r="Z102" s="172"/>
      <c r="AA102" s="173"/>
    </row>
    <row r="103" spans="1:33">
      <c r="A103" s="71"/>
      <c r="B103" s="71"/>
      <c r="C103" s="71"/>
      <c r="D103" s="194"/>
      <c r="E103" s="172"/>
      <c r="F103" s="71"/>
      <c r="G103" s="173"/>
      <c r="H103" s="172"/>
      <c r="I103" s="173"/>
      <c r="J103" s="170"/>
      <c r="K103" s="171"/>
      <c r="L103" s="172"/>
      <c r="M103" s="173"/>
      <c r="N103" s="172"/>
      <c r="O103" s="173"/>
      <c r="P103" s="172"/>
      <c r="Q103" s="173"/>
      <c r="S103" s="173"/>
      <c r="T103" s="172"/>
      <c r="U103" s="173"/>
      <c r="V103" s="170"/>
      <c r="W103" s="171"/>
      <c r="X103" s="170"/>
      <c r="Z103" s="16"/>
      <c r="AB103" s="16"/>
      <c r="AC103" s="16"/>
      <c r="AD103" s="16"/>
    </row>
    <row r="104" spans="1:33">
      <c r="A104" s="71"/>
      <c r="B104" s="71"/>
      <c r="C104" s="71"/>
      <c r="D104" s="74" t="s">
        <v>111</v>
      </c>
      <c r="E104" s="71"/>
      <c r="F104" s="172"/>
      <c r="G104" s="173"/>
      <c r="H104" s="172"/>
      <c r="I104" s="173"/>
      <c r="J104" s="170"/>
      <c r="K104" s="171"/>
      <c r="L104" s="172" t="s">
        <v>150</v>
      </c>
      <c r="M104" s="173"/>
      <c r="N104" s="172"/>
      <c r="O104" s="173"/>
      <c r="P104" s="172"/>
      <c r="Q104" s="173"/>
      <c r="S104" s="173"/>
      <c r="T104" s="172"/>
      <c r="U104" s="173"/>
      <c r="V104" s="170"/>
      <c r="W104" s="171"/>
      <c r="X104" s="70"/>
      <c r="Z104" s="16"/>
      <c r="AB104" s="16"/>
      <c r="AC104" s="16"/>
      <c r="AD104" s="16"/>
    </row>
    <row r="105" spans="1:33">
      <c r="A105" s="336">
        <v>1</v>
      </c>
      <c r="B105" s="338"/>
      <c r="C105" s="338">
        <f>IFERROR('Biaya Siswa'!B16,"")</f>
        <v>0</v>
      </c>
      <c r="D105" s="269" t="str">
        <f>IFERROR(VLOOKUP(C105,'Biaya Siswa'!B:M,3,FALSE),"")</f>
        <v/>
      </c>
      <c r="E105" s="270" t="str">
        <f>IFERROR(VLOOKUP(C105,'Biaya Siswa'!B:M,12,FALSE),"")</f>
        <v/>
      </c>
      <c r="F105" s="270">
        <v>250000</v>
      </c>
      <c r="G105" s="271">
        <v>44551</v>
      </c>
      <c r="H105" s="270"/>
      <c r="I105" s="271"/>
      <c r="J105" s="270"/>
      <c r="K105" s="271"/>
      <c r="L105" s="270"/>
      <c r="M105" s="271"/>
      <c r="N105" s="270"/>
      <c r="O105" s="271"/>
      <c r="P105" s="270"/>
      <c r="Q105" s="271"/>
      <c r="R105" s="272"/>
      <c r="S105" s="273"/>
      <c r="T105" s="274"/>
      <c r="U105" s="273"/>
      <c r="V105" s="274"/>
      <c r="W105" s="273"/>
      <c r="X105" s="274"/>
      <c r="Y105" s="273"/>
      <c r="Z105" s="274"/>
      <c r="AA105" s="273"/>
      <c r="AB105" s="272">
        <f>F105+H105+J105+L105+N105+P105+R105+T105+V105+X105+Z105</f>
        <v>250000</v>
      </c>
      <c r="AC105" s="373" t="str">
        <f>IFERROR(E105-AB105,"")</f>
        <v/>
      </c>
      <c r="AD105" s="272"/>
    </row>
    <row r="106" spans="1:33">
      <c r="A106" s="336">
        <v>2</v>
      </c>
      <c r="B106" s="338"/>
      <c r="C106" s="338">
        <f>IFERROR('Biaya Siswa'!B17,"")</f>
        <v>0</v>
      </c>
      <c r="D106" s="269" t="str">
        <f>IFERROR(VLOOKUP(C106,'Biaya Siswa'!B:M,3,FALSE),"")</f>
        <v/>
      </c>
      <c r="E106" s="270" t="str">
        <f>IFERROR(VLOOKUP(C106,'Biaya Siswa'!B:M,12,FALSE),"")</f>
        <v/>
      </c>
      <c r="F106" s="270">
        <v>250000</v>
      </c>
      <c r="G106" s="271">
        <v>44557</v>
      </c>
      <c r="H106" s="270"/>
      <c r="I106" s="271"/>
      <c r="J106" s="270"/>
      <c r="K106" s="271"/>
      <c r="L106" s="270"/>
      <c r="M106" s="271"/>
      <c r="N106" s="270"/>
      <c r="O106" s="271"/>
      <c r="P106" s="270"/>
      <c r="Q106" s="271"/>
      <c r="R106" s="272"/>
      <c r="S106" s="273"/>
      <c r="T106" s="274"/>
      <c r="U106" s="273"/>
      <c r="V106" s="274"/>
      <c r="W106" s="273"/>
      <c r="X106" s="274"/>
      <c r="Y106" s="273"/>
      <c r="Z106" s="274"/>
      <c r="AA106" s="273"/>
      <c r="AB106" s="272">
        <f t="shared" ref="AB106:AB113" si="5">F106+H106+J106+L106+N106+P106+R106+T106+V106+X106+Z106</f>
        <v>250000</v>
      </c>
      <c r="AC106" s="373" t="str">
        <f t="shared" ref="AC106:AC113" si="6">IFERROR(E106-AB106,"")</f>
        <v/>
      </c>
      <c r="AD106" s="272"/>
    </row>
    <row r="107" spans="1:33">
      <c r="A107" s="336">
        <v>3</v>
      </c>
      <c r="B107" s="337"/>
      <c r="C107" s="338">
        <f>IFERROR('Biaya Siswa'!B25,"")</f>
        <v>0</v>
      </c>
      <c r="D107" s="269" t="str">
        <f>IFERROR(VLOOKUP(C107,'Biaya Siswa'!B:M,3,FALSE),"")</f>
        <v/>
      </c>
      <c r="E107" s="270" t="str">
        <f>IFERROR(VLOOKUP(C107,'Biaya Siswa'!B:M,12,FALSE),"")</f>
        <v/>
      </c>
      <c r="F107" s="270">
        <v>250000</v>
      </c>
      <c r="G107" s="271">
        <v>44569</v>
      </c>
      <c r="H107" s="270"/>
      <c r="I107" s="271"/>
      <c r="J107" s="270"/>
      <c r="K107" s="271"/>
      <c r="L107" s="270">
        <v>600000</v>
      </c>
      <c r="M107" s="271">
        <v>44569</v>
      </c>
      <c r="N107" s="270"/>
      <c r="O107" s="271"/>
      <c r="P107" s="270"/>
      <c r="Q107" s="271"/>
      <c r="R107" s="272"/>
      <c r="S107" s="273"/>
      <c r="T107" s="274"/>
      <c r="U107" s="273"/>
      <c r="V107" s="274"/>
      <c r="W107" s="273"/>
      <c r="X107" s="274"/>
      <c r="Y107" s="273"/>
      <c r="Z107" s="274"/>
      <c r="AA107" s="273"/>
      <c r="AB107" s="272">
        <f t="shared" si="5"/>
        <v>850000</v>
      </c>
      <c r="AC107" s="272" t="str">
        <f t="shared" si="6"/>
        <v/>
      </c>
      <c r="AD107" s="272"/>
    </row>
    <row r="108" spans="1:33">
      <c r="A108" s="336">
        <v>4</v>
      </c>
      <c r="B108" s="337"/>
      <c r="C108" s="338">
        <f>IFERROR('Biaya Siswa'!B32,"")</f>
        <v>0</v>
      </c>
      <c r="D108" s="269" t="str">
        <f>IFERROR(VLOOKUP(C108,'Biaya Siswa'!B:M,3,FALSE),"")</f>
        <v/>
      </c>
      <c r="E108" s="270" t="str">
        <f>IFERROR(VLOOKUP(C108,'Biaya Siswa'!B:M,12,FALSE),"")</f>
        <v/>
      </c>
      <c r="F108" s="270">
        <v>250000</v>
      </c>
      <c r="G108" s="271">
        <v>44620</v>
      </c>
      <c r="H108" s="270"/>
      <c r="I108" s="271"/>
      <c r="J108" s="270"/>
      <c r="K108" s="271"/>
      <c r="L108" s="270"/>
      <c r="M108" s="271"/>
      <c r="N108" s="270"/>
      <c r="O108" s="271"/>
      <c r="P108" s="270"/>
      <c r="Q108" s="271"/>
      <c r="R108" s="272"/>
      <c r="S108" s="273"/>
      <c r="T108" s="274"/>
      <c r="U108" s="273"/>
      <c r="V108" s="274"/>
      <c r="W108" s="273"/>
      <c r="X108" s="274"/>
      <c r="Y108" s="273"/>
      <c r="Z108" s="274"/>
      <c r="AA108" s="273"/>
      <c r="AB108" s="272">
        <f t="shared" si="5"/>
        <v>250000</v>
      </c>
      <c r="AC108" s="272" t="str">
        <f t="shared" si="6"/>
        <v/>
      </c>
      <c r="AD108" s="272"/>
    </row>
    <row r="109" spans="1:33">
      <c r="A109" s="336">
        <v>5</v>
      </c>
      <c r="B109" s="340"/>
      <c r="C109" s="341">
        <f>IFERROR('Biaya Siswa'!B42,"")</f>
        <v>0</v>
      </c>
      <c r="D109" s="269" t="str">
        <f>IFERROR(VLOOKUP(C109,'Biaya Siswa'!B:M,3,FALSE),"")</f>
        <v/>
      </c>
      <c r="E109" s="270" t="str">
        <f>IFERROR(VLOOKUP(C109,'Biaya Siswa'!B:M,12,FALSE),"")</f>
        <v/>
      </c>
      <c r="F109" s="270">
        <v>250000</v>
      </c>
      <c r="G109" s="271">
        <v>44625</v>
      </c>
      <c r="H109" s="270"/>
      <c r="I109" s="271"/>
      <c r="J109" s="339"/>
      <c r="K109" s="271"/>
      <c r="L109" s="270"/>
      <c r="M109" s="271"/>
      <c r="N109" s="270"/>
      <c r="O109" s="271"/>
      <c r="P109" s="270"/>
      <c r="Q109" s="271"/>
      <c r="R109" s="272"/>
      <c r="S109" s="273"/>
      <c r="T109" s="274"/>
      <c r="U109" s="273"/>
      <c r="V109" s="274"/>
      <c r="W109" s="273"/>
      <c r="X109" s="274"/>
      <c r="Y109" s="273"/>
      <c r="Z109" s="274"/>
      <c r="AA109" s="273"/>
      <c r="AB109" s="272">
        <f t="shared" si="5"/>
        <v>250000</v>
      </c>
      <c r="AC109" s="272" t="str">
        <f t="shared" si="6"/>
        <v/>
      </c>
      <c r="AD109" s="272"/>
    </row>
    <row r="110" spans="1:33">
      <c r="A110" s="336">
        <v>6</v>
      </c>
      <c r="B110" s="275"/>
      <c r="C110" s="376">
        <f>IFERROR('Biaya Siswa'!B54,"")</f>
        <v>0</v>
      </c>
      <c r="D110" s="269" t="str">
        <f>IFERROR(VLOOKUP(C110,'Biaya Siswa'!B:M,3,FALSE),"")</f>
        <v/>
      </c>
      <c r="E110" s="270" t="str">
        <f>IFERROR(VLOOKUP(C110,'Biaya Siswa'!B:M,12,FALSE),"")</f>
        <v/>
      </c>
      <c r="F110" s="272">
        <v>250000</v>
      </c>
      <c r="G110" s="271">
        <v>44657</v>
      </c>
      <c r="H110" s="270"/>
      <c r="I110" s="271"/>
      <c r="J110" s="270"/>
      <c r="K110" s="271"/>
      <c r="L110" s="270"/>
      <c r="M110" s="271"/>
      <c r="N110" s="270"/>
      <c r="O110" s="271"/>
      <c r="P110" s="270"/>
      <c r="Q110" s="271"/>
      <c r="R110" s="272"/>
      <c r="S110" s="273"/>
      <c r="T110" s="274"/>
      <c r="U110" s="273"/>
      <c r="V110" s="274"/>
      <c r="W110" s="273"/>
      <c r="X110" s="274"/>
      <c r="Y110" s="273"/>
      <c r="Z110" s="274"/>
      <c r="AA110" s="273"/>
      <c r="AB110" s="272">
        <f t="shared" si="5"/>
        <v>250000</v>
      </c>
      <c r="AC110" s="272" t="str">
        <f t="shared" si="6"/>
        <v/>
      </c>
      <c r="AD110" s="272"/>
    </row>
    <row r="111" spans="1:33">
      <c r="A111" s="336">
        <v>7</v>
      </c>
      <c r="B111" s="275"/>
      <c r="C111" s="376">
        <f>IFERROR('Biaya Siswa'!B55,"")</f>
        <v>0</v>
      </c>
      <c r="D111" s="269" t="str">
        <f>IFERROR(VLOOKUP(C111,'Biaya Siswa'!B:M,3,FALSE),"")</f>
        <v/>
      </c>
      <c r="E111" s="270" t="str">
        <f>IFERROR(VLOOKUP(C111,'Biaya Siswa'!B:M,12,FALSE),"")</f>
        <v/>
      </c>
      <c r="F111" s="272">
        <v>250000</v>
      </c>
      <c r="G111" s="271">
        <v>44660</v>
      </c>
      <c r="H111" s="270"/>
      <c r="I111" s="271"/>
      <c r="J111" s="270"/>
      <c r="K111" s="271"/>
      <c r="L111" s="270"/>
      <c r="M111" s="271"/>
      <c r="N111" s="270"/>
      <c r="O111" s="271"/>
      <c r="P111" s="270"/>
      <c r="Q111" s="271"/>
      <c r="R111" s="272"/>
      <c r="S111" s="273"/>
      <c r="T111" s="274"/>
      <c r="U111" s="273"/>
      <c r="V111" s="274"/>
      <c r="W111" s="273"/>
      <c r="X111" s="274"/>
      <c r="Y111" s="273"/>
      <c r="Z111" s="274"/>
      <c r="AA111" s="273"/>
      <c r="AB111" s="272">
        <f t="shared" si="5"/>
        <v>250000</v>
      </c>
      <c r="AC111" s="272" t="str">
        <f t="shared" si="6"/>
        <v/>
      </c>
      <c r="AD111" s="272"/>
    </row>
    <row r="112" spans="1:33">
      <c r="A112" s="336">
        <v>8</v>
      </c>
      <c r="B112" s="275"/>
      <c r="C112" s="375">
        <f>IFERROR('Biaya Siswa'!B34,"")</f>
        <v>0</v>
      </c>
      <c r="D112" s="269" t="str">
        <f>IFERROR(VLOOKUP(C112,'Biaya Siswa'!B:M,3,FALSE),"")</f>
        <v/>
      </c>
      <c r="E112" s="270" t="str">
        <f>IFERROR(VLOOKUP(C112,'Biaya Siswa'!B:M,12,FALSE),"")</f>
        <v/>
      </c>
      <c r="F112" s="270">
        <v>250000</v>
      </c>
      <c r="G112" s="271">
        <v>44592</v>
      </c>
      <c r="H112" s="270"/>
      <c r="I112" s="271"/>
      <c r="J112" s="270"/>
      <c r="K112" s="271"/>
      <c r="L112" s="270"/>
      <c r="M112" s="271"/>
      <c r="N112" s="270"/>
      <c r="O112" s="271"/>
      <c r="P112" s="270"/>
      <c r="Q112" s="271"/>
      <c r="R112" s="272"/>
      <c r="S112" s="273"/>
      <c r="T112" s="274"/>
      <c r="U112" s="273"/>
      <c r="V112" s="274"/>
      <c r="W112" s="273"/>
      <c r="X112" s="274"/>
      <c r="Y112" s="273"/>
      <c r="Z112" s="274"/>
      <c r="AA112" s="273"/>
      <c r="AB112" s="272">
        <f t="shared" si="5"/>
        <v>250000</v>
      </c>
      <c r="AC112" s="272" t="str">
        <f t="shared" si="6"/>
        <v/>
      </c>
      <c r="AD112" s="272"/>
    </row>
    <row r="113" spans="1:30">
      <c r="A113" s="336">
        <v>9</v>
      </c>
      <c r="B113" s="275"/>
      <c r="C113" s="375">
        <f>IFERROR('Biaya Siswa'!B36,"")</f>
        <v>0</v>
      </c>
      <c r="D113" s="269" t="str">
        <f>IFERROR(VLOOKUP(C113,'Biaya Siswa'!B:M,3,FALSE),"")</f>
        <v/>
      </c>
      <c r="E113" s="270" t="str">
        <f>IFERROR(VLOOKUP(C113,'Biaya Siswa'!B:M,12,FALSE),"")</f>
        <v/>
      </c>
      <c r="F113" s="270">
        <v>250000</v>
      </c>
      <c r="G113" s="271">
        <v>44594</v>
      </c>
      <c r="H113" s="270"/>
      <c r="I113" s="271"/>
      <c r="J113" s="270"/>
      <c r="K113" s="271"/>
      <c r="L113" s="270"/>
      <c r="M113" s="271"/>
      <c r="N113" s="270"/>
      <c r="O113" s="271"/>
      <c r="P113" s="270"/>
      <c r="Q113" s="271"/>
      <c r="R113" s="272"/>
      <c r="S113" s="273"/>
      <c r="T113" s="274"/>
      <c r="U113" s="273"/>
      <c r="V113" s="274"/>
      <c r="W113" s="273"/>
      <c r="X113" s="274"/>
      <c r="Y113" s="273"/>
      <c r="Z113" s="274"/>
      <c r="AA113" s="273"/>
      <c r="AB113" s="272">
        <f t="shared" si="5"/>
        <v>250000</v>
      </c>
      <c r="AC113" s="272" t="str">
        <f t="shared" si="6"/>
        <v/>
      </c>
      <c r="AD113" s="272"/>
    </row>
    <row r="114" spans="1:30">
      <c r="A114" s="71"/>
      <c r="B114" s="71"/>
      <c r="C114" s="71"/>
      <c r="D114" s="75" t="s">
        <v>146</v>
      </c>
      <c r="E114" s="71"/>
      <c r="F114" s="172"/>
      <c r="G114" s="173"/>
      <c r="H114" s="172"/>
      <c r="I114" s="173"/>
      <c r="J114" s="170"/>
      <c r="K114" s="171"/>
      <c r="L114" s="172" t="s">
        <v>151</v>
      </c>
      <c r="M114" s="173"/>
      <c r="N114" s="172"/>
      <c r="O114" s="173"/>
      <c r="P114" s="172"/>
      <c r="Q114" s="173"/>
      <c r="S114" s="173"/>
      <c r="T114" s="172"/>
      <c r="U114" s="173"/>
      <c r="V114" s="170"/>
      <c r="W114" s="171"/>
      <c r="X114" s="70"/>
      <c r="Z114" s="16"/>
      <c r="AB114" s="16"/>
      <c r="AC114" s="16"/>
      <c r="AD114" s="16"/>
    </row>
    <row r="115" spans="1:30">
      <c r="A115" s="71"/>
      <c r="B115" s="71"/>
      <c r="C115" s="71"/>
      <c r="D115" s="75" t="s">
        <v>147</v>
      </c>
      <c r="E115" s="71" t="s">
        <v>148</v>
      </c>
      <c r="F115" s="172"/>
      <c r="G115" s="173"/>
      <c r="H115" s="172"/>
      <c r="I115" s="173"/>
      <c r="J115" s="170"/>
      <c r="K115" s="171"/>
      <c r="L115" s="172" t="s">
        <v>123</v>
      </c>
      <c r="M115" s="173"/>
      <c r="N115" s="172"/>
      <c r="O115" s="173"/>
      <c r="P115" s="172"/>
      <c r="Q115" s="173"/>
      <c r="S115" s="173"/>
      <c r="T115" s="172"/>
      <c r="U115" s="173"/>
      <c r="V115" s="170"/>
      <c r="W115" s="171"/>
      <c r="X115" s="70"/>
      <c r="Z115" s="16"/>
      <c r="AB115" s="16"/>
      <c r="AC115" s="16"/>
      <c r="AD115" s="16"/>
    </row>
    <row r="116" spans="1:30">
      <c r="A116" s="71"/>
      <c r="B116" s="71"/>
      <c r="C116" s="71"/>
      <c r="D116" s="74"/>
      <c r="E116" s="71" t="s">
        <v>149</v>
      </c>
      <c r="F116" s="172"/>
      <c r="G116" s="173"/>
      <c r="H116" s="172"/>
      <c r="I116" s="173"/>
      <c r="J116" s="170"/>
      <c r="K116" s="171"/>
      <c r="L116" s="172"/>
      <c r="M116" s="173"/>
      <c r="N116" s="172"/>
      <c r="O116" s="173"/>
      <c r="P116" s="172"/>
      <c r="Q116" s="173"/>
      <c r="S116" s="173"/>
      <c r="T116" s="172"/>
      <c r="U116" s="173"/>
      <c r="V116" s="170"/>
      <c r="W116" s="171"/>
      <c r="X116" s="70"/>
      <c r="Z116" s="16"/>
      <c r="AB116" s="16"/>
      <c r="AC116" s="16"/>
      <c r="AD116" s="16"/>
    </row>
    <row r="117" spans="1:30">
      <c r="A117" s="71"/>
      <c r="B117" s="71"/>
      <c r="C117" s="71"/>
      <c r="D117" s="71"/>
      <c r="E117" s="172"/>
      <c r="F117" s="71"/>
      <c r="G117" s="173"/>
      <c r="H117" s="172"/>
      <c r="I117" s="173"/>
      <c r="J117" s="71"/>
      <c r="K117" s="173"/>
      <c r="L117" s="172"/>
      <c r="M117" s="173"/>
      <c r="N117" s="170"/>
      <c r="O117" s="171"/>
      <c r="P117" s="172"/>
      <c r="Q117" s="173"/>
      <c r="S117" s="173"/>
      <c r="T117" s="172"/>
      <c r="U117" s="173"/>
      <c r="V117" s="172"/>
      <c r="W117" s="173"/>
      <c r="X117" s="170"/>
      <c r="Y117" s="171"/>
      <c r="Z117" s="170"/>
      <c r="AB117" s="16"/>
      <c r="AC117" s="16"/>
      <c r="AD117" s="16"/>
    </row>
  </sheetData>
  <sortState ref="B9:AD97">
    <sortCondition ref="B9"/>
  </sortState>
  <mergeCells count="23">
    <mergeCell ref="A1:AD1"/>
    <mergeCell ref="A2:AD2"/>
    <mergeCell ref="A3:AD3"/>
    <mergeCell ref="A6:A8"/>
    <mergeCell ref="B6:B8"/>
    <mergeCell ref="C6:C8"/>
    <mergeCell ref="D6:D8"/>
    <mergeCell ref="AB6:AB8"/>
    <mergeCell ref="AD6:AD8"/>
    <mergeCell ref="E6:E8"/>
    <mergeCell ref="AC6:AC8"/>
    <mergeCell ref="F6:AA6"/>
    <mergeCell ref="P7:Q7"/>
    <mergeCell ref="R7:S7"/>
    <mergeCell ref="T7:U7"/>
    <mergeCell ref="V7:W7"/>
    <mergeCell ref="X7:Y7"/>
    <mergeCell ref="Z7:AA7"/>
    <mergeCell ref="F7:G7"/>
    <mergeCell ref="N7:O7"/>
    <mergeCell ref="L7:M7"/>
    <mergeCell ref="J7:K7"/>
    <mergeCell ref="H7:I7"/>
  </mergeCells>
  <dataValidations count="1">
    <dataValidation type="list" allowBlank="1" showInputMessage="1" showErrorMessage="1" sqref="AD105:AD113 AD9:AD99">
      <formula1>$L$104:$L$115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scale="39" orientation="landscape" horizontalDpi="4294967293" r:id="rId1"/>
  <rowBreaks count="2" manualBreakCount="2">
    <brk id="83" max="38" man="1"/>
    <brk id="101" max="30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3"/>
  <sheetViews>
    <sheetView showGridLines="0" topLeftCell="A5" workbookViewId="0">
      <selection activeCell="E22" sqref="E22"/>
    </sheetView>
  </sheetViews>
  <sheetFormatPr defaultRowHeight="15"/>
  <cols>
    <col min="1" max="1" width="4" style="58" bestFit="1" customWidth="1"/>
    <col min="2" max="2" width="20.7109375" style="58" bestFit="1" customWidth="1"/>
    <col min="3" max="3" width="6.5703125" style="61" customWidth="1"/>
    <col min="4" max="4" width="21.140625" style="58" bestFit="1" customWidth="1"/>
    <col min="5" max="6" width="21" style="58" customWidth="1"/>
    <col min="7" max="7" width="14.140625" style="58" bestFit="1" customWidth="1"/>
    <col min="8" max="8" width="14" style="58" customWidth="1"/>
    <col min="9" max="9" width="13.140625" style="58" customWidth="1"/>
    <col min="10" max="13" width="9.140625" style="58"/>
    <col min="14" max="16384" width="9.140625" style="20"/>
  </cols>
  <sheetData>
    <row r="1" spans="1:13">
      <c r="A1" s="150" t="s">
        <v>104</v>
      </c>
      <c r="B1" s="150"/>
      <c r="C1" s="150"/>
      <c r="D1" s="150"/>
      <c r="E1" s="150"/>
      <c r="F1" s="150"/>
      <c r="G1" s="150"/>
      <c r="H1" s="149"/>
      <c r="I1" s="149"/>
    </row>
    <row r="2" spans="1:13">
      <c r="A2" s="150" t="str">
        <f>"PERIODE "&amp;Cover!$N$3&amp;" "&amp;Cover!$P$3</f>
        <v>PERIODE JULI 2022</v>
      </c>
      <c r="B2" s="150"/>
      <c r="C2" s="150"/>
      <c r="D2" s="150"/>
      <c r="E2" s="150"/>
      <c r="F2" s="150"/>
      <c r="G2" s="150"/>
      <c r="H2" s="149"/>
      <c r="I2" s="149"/>
    </row>
    <row r="3" spans="1:13">
      <c r="A3" s="59"/>
      <c r="B3" s="59"/>
      <c r="C3" s="59"/>
      <c r="D3" s="59"/>
      <c r="E3" s="59"/>
      <c r="F3" s="59"/>
      <c r="G3" s="59"/>
      <c r="L3" s="20"/>
      <c r="M3" s="20"/>
    </row>
    <row r="4" spans="1:13">
      <c r="A4" s="60" t="str">
        <f>"KANTOR CABANG : "&amp;Cover!A5</f>
        <v>KANTOR CABANG : TAHUN AJARAN 2021 - 2022</v>
      </c>
      <c r="L4" s="20"/>
      <c r="M4" s="20"/>
    </row>
    <row r="5" spans="1:13" ht="15" customHeight="1">
      <c r="A5" s="446" t="s">
        <v>27</v>
      </c>
      <c r="B5" s="446" t="s">
        <v>105</v>
      </c>
      <c r="C5" s="450" t="s">
        <v>106</v>
      </c>
      <c r="D5" s="63" t="s">
        <v>107</v>
      </c>
      <c r="E5" s="63" t="s">
        <v>107</v>
      </c>
      <c r="F5" s="448" t="s">
        <v>118</v>
      </c>
      <c r="G5" s="446" t="s">
        <v>108</v>
      </c>
      <c r="L5" s="20"/>
      <c r="M5" s="20"/>
    </row>
    <row r="6" spans="1:13">
      <c r="A6" s="447"/>
      <c r="B6" s="447"/>
      <c r="C6" s="447"/>
      <c r="D6" s="64" t="s">
        <v>113</v>
      </c>
      <c r="E6" s="64" t="s">
        <v>114</v>
      </c>
      <c r="F6" s="449"/>
      <c r="G6" s="447"/>
      <c r="L6" s="20"/>
      <c r="M6" s="20"/>
    </row>
    <row r="7" spans="1:13">
      <c r="A7" s="66">
        <v>1</v>
      </c>
      <c r="B7" s="65" t="s">
        <v>143</v>
      </c>
      <c r="C7" s="66" t="s">
        <v>146</v>
      </c>
      <c r="D7" s="66">
        <v>0</v>
      </c>
      <c r="E7" s="66">
        <v>0</v>
      </c>
      <c r="F7" s="66">
        <v>0</v>
      </c>
      <c r="G7" s="66">
        <f>SUM(D7:E7)</f>
        <v>0</v>
      </c>
      <c r="L7" s="20"/>
      <c r="M7" s="20"/>
    </row>
    <row r="8" spans="1:13">
      <c r="A8" s="66">
        <v>2</v>
      </c>
      <c r="B8" s="65" t="s">
        <v>144</v>
      </c>
      <c r="C8" s="66" t="s">
        <v>147</v>
      </c>
      <c r="D8" s="66">
        <v>0</v>
      </c>
      <c r="E8" s="66">
        <v>0</v>
      </c>
      <c r="F8" s="66">
        <v>0</v>
      </c>
      <c r="G8" s="66">
        <f>SUM(D8:E8)</f>
        <v>0</v>
      </c>
      <c r="L8" s="20"/>
      <c r="M8" s="20"/>
    </row>
    <row r="9" spans="1:13">
      <c r="A9" s="445" t="s">
        <v>109</v>
      </c>
      <c r="B9" s="445"/>
      <c r="C9" s="445"/>
      <c r="D9" s="62">
        <f>SUM(D7:D8)</f>
        <v>0</v>
      </c>
      <c r="E9" s="62">
        <v>0</v>
      </c>
      <c r="F9" s="62">
        <f>SUM(F7:F8)</f>
        <v>0</v>
      </c>
      <c r="G9" s="62">
        <f>SUM(G7:G8)</f>
        <v>0</v>
      </c>
      <c r="L9" s="20"/>
      <c r="M9" s="20"/>
    </row>
    <row r="10" spans="1:13">
      <c r="L10" s="20"/>
      <c r="M10" s="20"/>
    </row>
    <row r="11" spans="1:13">
      <c r="L11" s="20"/>
      <c r="M11" s="20"/>
    </row>
    <row r="12" spans="1:13">
      <c r="F12" s="77" t="str">
        <f ca="1">D23&amp;", "&amp;TEXT(E23,"DD/MM/YYYY")</f>
        <v>CIREBON, 18/05/2024</v>
      </c>
      <c r="G12" s="77"/>
      <c r="H12" s="77"/>
      <c r="K12" s="444" t="str">
        <f ca="1">CONCATENATE("CIREBON, ",UPPER(TEXT(TODAY(),"d mmmm  yyyy")))</f>
        <v>CIREBON, 18 MAY  2024</v>
      </c>
      <c r="L12" s="444"/>
      <c r="M12" s="444"/>
    </row>
    <row r="13" spans="1:13">
      <c r="B13" s="61" t="s">
        <v>24</v>
      </c>
      <c r="F13" s="76" t="s">
        <v>128</v>
      </c>
      <c r="G13" s="76"/>
      <c r="H13" s="76"/>
    </row>
    <row r="14" spans="1:13">
      <c r="B14" s="61"/>
    </row>
    <row r="15" spans="1:13">
      <c r="B15" s="61"/>
      <c r="D15" s="151"/>
      <c r="J15" s="151"/>
    </row>
    <row r="16" spans="1:13">
      <c r="B16" s="61"/>
    </row>
    <row r="17" spans="2:8">
      <c r="B17" s="61"/>
    </row>
    <row r="18" spans="2:8">
      <c r="B18" s="61"/>
    </row>
    <row r="19" spans="2:8">
      <c r="B19" s="67" t="str">
        <f>Cover!N7</f>
        <v>MURDIYONO</v>
      </c>
      <c r="F19" s="78" t="str">
        <f>Cover!N8</f>
        <v>ANITA MERLINA</v>
      </c>
      <c r="G19" s="78"/>
      <c r="H19" s="78"/>
    </row>
    <row r="20" spans="2:8">
      <c r="B20" s="61" t="s">
        <v>83</v>
      </c>
      <c r="F20" s="76" t="s">
        <v>152</v>
      </c>
      <c r="G20" s="76"/>
      <c r="H20" s="76"/>
    </row>
    <row r="21" spans="2:8">
      <c r="B21" s="61"/>
    </row>
    <row r="22" spans="2:8">
      <c r="B22" s="61"/>
    </row>
    <row r="23" spans="2:8" hidden="1">
      <c r="D23" s="58" t="s">
        <v>126</v>
      </c>
      <c r="E23" s="151">
        <f ca="1">TODAY()</f>
        <v>45430</v>
      </c>
    </row>
  </sheetData>
  <mergeCells count="7">
    <mergeCell ref="K12:M12"/>
    <mergeCell ref="A9:C9"/>
    <mergeCell ref="A5:A6"/>
    <mergeCell ref="B5:B6"/>
    <mergeCell ref="G5:G6"/>
    <mergeCell ref="F5:F6"/>
    <mergeCell ref="C5:C6"/>
  </mergeCells>
  <printOptions horizontalCentered="1"/>
  <pageMargins left="0.51181102362204722" right="0.51181102362204722" top="0.74803149606299213" bottom="0.74803149606299213" header="0.31496062992125984" footer="0.31496062992125984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showGridLines="0" workbookViewId="0">
      <selection activeCell="G18" sqref="G18"/>
    </sheetView>
  </sheetViews>
  <sheetFormatPr defaultRowHeight="15"/>
  <cols>
    <col min="1" max="1" width="5.7109375" customWidth="1"/>
    <col min="2" max="2" width="29.28515625" customWidth="1"/>
    <col min="5" max="5" width="6.85546875" customWidth="1"/>
    <col min="6" max="6" width="40.28515625" customWidth="1"/>
    <col min="9" max="9" width="6.85546875" customWidth="1"/>
    <col min="10" max="10" width="39.85546875" customWidth="1"/>
  </cols>
  <sheetData>
    <row r="1" spans="1:10" s="2" customFormat="1"/>
    <row r="2" spans="1:10" s="2" customFormat="1"/>
    <row r="3" spans="1:10">
      <c r="A3" s="2" t="s">
        <v>154</v>
      </c>
      <c r="E3" s="99" t="s">
        <v>153</v>
      </c>
      <c r="F3" s="99"/>
      <c r="G3" s="99"/>
      <c r="H3" s="99"/>
      <c r="I3" s="99" t="s">
        <v>153</v>
      </c>
      <c r="J3" s="99"/>
    </row>
    <row r="4" spans="1:10">
      <c r="E4" s="99" t="s">
        <v>155</v>
      </c>
      <c r="F4" s="99"/>
      <c r="G4" s="99"/>
      <c r="H4" s="99"/>
      <c r="I4" s="99" t="s">
        <v>156</v>
      </c>
      <c r="J4" s="99"/>
    </row>
    <row r="5" spans="1:10" ht="15.75">
      <c r="A5" s="370">
        <v>1</v>
      </c>
      <c r="B5" s="371"/>
      <c r="E5" s="357">
        <v>1</v>
      </c>
      <c r="F5" s="358"/>
      <c r="I5" s="362">
        <v>1</v>
      </c>
      <c r="J5" s="363"/>
    </row>
    <row r="6" spans="1:10" ht="15.75">
      <c r="A6" s="370">
        <v>2</v>
      </c>
      <c r="B6" s="371"/>
      <c r="E6" s="357">
        <v>2</v>
      </c>
      <c r="F6" s="358"/>
      <c r="I6" s="362">
        <v>2</v>
      </c>
      <c r="J6" s="363"/>
    </row>
    <row r="7" spans="1:10" ht="15.75">
      <c r="A7" s="370">
        <v>3</v>
      </c>
      <c r="B7" s="371"/>
      <c r="E7" s="357">
        <v>3</v>
      </c>
      <c r="F7" s="358"/>
      <c r="I7" s="362">
        <v>3</v>
      </c>
      <c r="J7" s="363"/>
    </row>
    <row r="8" spans="1:10" ht="15.75">
      <c r="A8" s="370">
        <v>4</v>
      </c>
      <c r="B8" s="371"/>
      <c r="E8" s="357">
        <v>4</v>
      </c>
      <c r="F8" s="358"/>
      <c r="I8" s="362">
        <v>4</v>
      </c>
      <c r="J8" s="363"/>
    </row>
    <row r="9" spans="1:10" ht="15.75">
      <c r="A9" s="370">
        <v>5</v>
      </c>
      <c r="B9" s="371"/>
      <c r="E9" s="357">
        <v>5</v>
      </c>
      <c r="F9" s="358"/>
      <c r="I9" s="362">
        <v>5</v>
      </c>
      <c r="J9" s="363"/>
    </row>
    <row r="10" spans="1:10" ht="15.75">
      <c r="A10" s="370">
        <v>6</v>
      </c>
      <c r="B10" s="371"/>
      <c r="E10" s="357">
        <v>6</v>
      </c>
      <c r="F10" s="358"/>
      <c r="I10" s="362">
        <v>6</v>
      </c>
      <c r="J10" s="363"/>
    </row>
    <row r="11" spans="1:10" ht="15.75">
      <c r="A11" s="370">
        <v>7</v>
      </c>
      <c r="B11" s="371"/>
      <c r="E11" s="357">
        <v>7</v>
      </c>
      <c r="F11" s="358"/>
      <c r="I11" s="362">
        <v>7</v>
      </c>
      <c r="J11" s="363"/>
    </row>
    <row r="12" spans="1:10" ht="15.75">
      <c r="A12" s="370">
        <v>8</v>
      </c>
      <c r="B12" s="371"/>
      <c r="E12" s="357">
        <v>8</v>
      </c>
      <c r="F12" s="358"/>
      <c r="I12" s="362">
        <v>8</v>
      </c>
      <c r="J12" s="363"/>
    </row>
    <row r="13" spans="1:10" ht="15.75">
      <c r="A13" s="370">
        <v>9</v>
      </c>
      <c r="B13" s="371"/>
      <c r="E13" s="357">
        <v>9</v>
      </c>
      <c r="F13" s="358"/>
      <c r="I13" s="362">
        <v>9</v>
      </c>
      <c r="J13" s="363"/>
    </row>
    <row r="14" spans="1:10" ht="15.75">
      <c r="A14" s="370">
        <v>10</v>
      </c>
      <c r="B14" s="371"/>
      <c r="E14" s="357">
        <v>10</v>
      </c>
      <c r="F14" s="358"/>
      <c r="I14" s="362">
        <v>10</v>
      </c>
      <c r="J14" s="363"/>
    </row>
    <row r="15" spans="1:10" ht="15.75">
      <c r="A15" s="370">
        <v>11</v>
      </c>
      <c r="B15" s="371"/>
      <c r="E15" s="357">
        <v>11</v>
      </c>
      <c r="F15" s="358"/>
      <c r="I15" s="362">
        <v>11</v>
      </c>
      <c r="J15" s="363"/>
    </row>
    <row r="16" spans="1:10" ht="15.75">
      <c r="A16" s="370">
        <v>12</v>
      </c>
      <c r="B16" s="371"/>
      <c r="E16" s="357">
        <v>12</v>
      </c>
      <c r="F16" s="358"/>
      <c r="I16" s="362">
        <v>12</v>
      </c>
      <c r="J16" s="363"/>
    </row>
    <row r="17" spans="1:10" ht="15.75">
      <c r="A17" s="370">
        <v>13</v>
      </c>
      <c r="B17" s="371"/>
      <c r="E17" s="357">
        <v>13</v>
      </c>
      <c r="F17" s="358"/>
      <c r="I17" s="362">
        <v>13</v>
      </c>
      <c r="J17" s="363"/>
    </row>
    <row r="18" spans="1:10" ht="15.75">
      <c r="A18" s="370">
        <v>14</v>
      </c>
      <c r="B18" s="371"/>
      <c r="E18" s="357">
        <v>14</v>
      </c>
      <c r="F18" s="358"/>
      <c r="I18" s="362">
        <v>14</v>
      </c>
      <c r="J18" s="364"/>
    </row>
    <row r="19" spans="1:10" ht="15.75">
      <c r="A19" s="361">
        <v>15</v>
      </c>
      <c r="B19" s="372"/>
      <c r="E19" s="357">
        <v>15</v>
      </c>
      <c r="F19" s="358"/>
      <c r="I19" s="365">
        <v>15</v>
      </c>
      <c r="J19" s="366"/>
    </row>
    <row r="20" spans="1:10" ht="15.75">
      <c r="A20" s="352"/>
      <c r="E20" s="356">
        <v>16</v>
      </c>
      <c r="F20" s="359"/>
      <c r="I20" s="365">
        <v>16</v>
      </c>
      <c r="J20" s="366"/>
    </row>
    <row r="21" spans="1:10" ht="15.75">
      <c r="A21" s="353"/>
      <c r="E21" s="356">
        <v>17</v>
      </c>
      <c r="F21" s="359"/>
      <c r="I21" s="365">
        <v>17</v>
      </c>
      <c r="J21" s="366"/>
    </row>
    <row r="22" spans="1:10" ht="15.75">
      <c r="A22" s="353"/>
      <c r="E22" s="356">
        <v>18</v>
      </c>
      <c r="F22" s="359"/>
      <c r="I22" s="365">
        <v>18</v>
      </c>
      <c r="J22" s="366"/>
    </row>
    <row r="23" spans="1:10" ht="15.75">
      <c r="A23" s="351"/>
      <c r="B23" s="351"/>
      <c r="E23" s="356">
        <v>19</v>
      </c>
      <c r="F23" s="359"/>
      <c r="I23" s="365">
        <v>19</v>
      </c>
      <c r="J23" s="366"/>
    </row>
    <row r="24" spans="1:10" ht="15.75">
      <c r="E24" s="356">
        <v>20</v>
      </c>
      <c r="F24" s="359"/>
      <c r="I24" s="365">
        <v>20</v>
      </c>
      <c r="J24" s="367"/>
    </row>
    <row r="25" spans="1:10" ht="15.75">
      <c r="E25" s="356">
        <v>21</v>
      </c>
      <c r="F25" s="359"/>
      <c r="I25" s="365">
        <v>21</v>
      </c>
      <c r="J25" s="367"/>
    </row>
    <row r="26" spans="1:10" ht="15.75">
      <c r="E26" s="356">
        <v>22</v>
      </c>
      <c r="F26" s="359"/>
      <c r="I26" s="365">
        <v>22</v>
      </c>
      <c r="J26" s="367"/>
    </row>
    <row r="27" spans="1:10" ht="15.75">
      <c r="E27" s="356">
        <v>23</v>
      </c>
      <c r="F27" s="359"/>
      <c r="I27" s="365">
        <v>23</v>
      </c>
      <c r="J27" s="367"/>
    </row>
    <row r="28" spans="1:10" ht="15.75">
      <c r="E28" s="356">
        <v>24</v>
      </c>
      <c r="F28" s="359"/>
      <c r="I28" s="365">
        <v>24</v>
      </c>
      <c r="J28" s="367"/>
    </row>
    <row r="29" spans="1:10" ht="15.75">
      <c r="E29" s="356">
        <v>25</v>
      </c>
      <c r="F29" s="359"/>
      <c r="I29" s="365">
        <v>25</v>
      </c>
      <c r="J29" s="367"/>
    </row>
    <row r="30" spans="1:10" ht="15.75">
      <c r="E30" s="356">
        <v>26</v>
      </c>
      <c r="F30" s="359"/>
      <c r="I30" s="365">
        <v>26</v>
      </c>
      <c r="J30" s="367"/>
    </row>
    <row r="31" spans="1:10" ht="15.75">
      <c r="E31" s="356">
        <v>27</v>
      </c>
      <c r="F31" s="359"/>
      <c r="I31" s="365">
        <v>27</v>
      </c>
      <c r="J31" s="368"/>
    </row>
    <row r="32" spans="1:10" ht="15.75">
      <c r="E32" s="356">
        <v>28</v>
      </c>
      <c r="F32" s="360"/>
      <c r="I32" s="365">
        <v>28</v>
      </c>
      <c r="J32" s="369"/>
    </row>
    <row r="33" spans="5:10" ht="15.75">
      <c r="E33" s="356">
        <v>29</v>
      </c>
      <c r="F33" s="360"/>
      <c r="I33" s="354">
        <v>29</v>
      </c>
      <c r="J33" s="355"/>
    </row>
    <row r="34" spans="5:10" ht="15.75">
      <c r="E34" s="356">
        <v>30</v>
      </c>
      <c r="F34" s="360"/>
      <c r="I34" s="354">
        <v>30</v>
      </c>
      <c r="J34" s="355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R18" sqref="R1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Akun</vt:lpstr>
      <vt:lpstr>Aktiva Tetap</vt:lpstr>
      <vt:lpstr>Rekap</vt:lpstr>
      <vt:lpstr>Cover</vt:lpstr>
      <vt:lpstr>Laba Rugi</vt:lpstr>
      <vt:lpstr>Neraca</vt:lpstr>
      <vt:lpstr>Cashflow</vt:lpstr>
      <vt:lpstr>Biaya Siswa</vt:lpstr>
      <vt:lpstr>Data Siswa</vt:lpstr>
      <vt:lpstr>Rekap Siswa</vt:lpstr>
      <vt:lpstr>Absen siswa</vt:lpstr>
      <vt:lpstr>Sheet2</vt:lpstr>
      <vt:lpstr>'Biaya Siswa'!Print_Area</vt:lpstr>
      <vt:lpstr>Cashflow!Print_Area</vt:lpstr>
      <vt:lpstr>Cover!Print_Area</vt:lpstr>
      <vt:lpstr>'Data Siswa'!Print_Area</vt:lpstr>
      <vt:lpstr>'Laba Rugi'!Print_Area</vt:lpstr>
      <vt:lpstr>Neraca!Print_Area</vt:lpstr>
    </vt:vector>
  </TitlesOfParts>
  <Company>Murpi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JPS</dc:creator>
  <cp:lastModifiedBy>USER</cp:lastModifiedBy>
  <cp:lastPrinted>2013-07-02T02:24:34Z</cp:lastPrinted>
  <dcterms:created xsi:type="dcterms:W3CDTF">2011-08-09T06:48:20Z</dcterms:created>
  <dcterms:modified xsi:type="dcterms:W3CDTF">2024-05-18T08:22:56Z</dcterms:modified>
</cp:coreProperties>
</file>